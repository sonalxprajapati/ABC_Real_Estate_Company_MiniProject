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Sonal\Downloads\"/>
    </mc:Choice>
  </mc:AlternateContent>
  <xr:revisionPtr revIDLastSave="0" documentId="13_ncr:1_{107D3605-8321-47C8-B9C2-8DDC41BAAF67}" xr6:coauthVersionLast="47" xr6:coauthVersionMax="47" xr10:uidLastSave="{00000000-0000-0000-0000-000000000000}"/>
  <bookViews>
    <workbookView xWindow="-108" yWindow="-108" windowWidth="23256" windowHeight="12456" tabRatio="1000" activeTab="7" xr2:uid="{00000000-000D-0000-FFFF-FFFF00000000}"/>
  </bookViews>
  <sheets>
    <sheet name="S. County" sheetId="33" r:id="rId1"/>
    <sheet name="N. County" sheetId="32" r:id="rId2"/>
    <sheet name="Central" sheetId="31" r:id="rId3"/>
    <sheet name="Sample Dashboard" sheetId="34" r:id="rId4"/>
    <sheet name="Questions" sheetId="4" r:id="rId5"/>
    <sheet name="PivotTable" sheetId="36" r:id="rId6"/>
    <sheet name="MasterData" sheetId="35" r:id="rId7"/>
    <sheet name="Dashboard" sheetId="37" r:id="rId8"/>
    <sheet name="GPT cache" sheetId="30" state="veryHidden" r:id="rId9"/>
  </sheets>
  <definedNames>
    <definedName name="_xlnm._FilterDatabase" localSheetId="2" hidden="1">Central!$A$1:$J$48</definedName>
    <definedName name="_xlnm._FilterDatabase" localSheetId="1" hidden="1">'N. County'!$A$1:$J$44</definedName>
    <definedName name="_xlnm._FilterDatabase" localSheetId="0" hidden="1">'S. County'!$A$1:$J$42</definedName>
    <definedName name="Slicer_Agent">#N/A</definedName>
    <definedName name="Slicer_Area">#N/A</definedName>
    <definedName name="Slicer_Typ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25" roundtripDataSignature="AMtx7mgULP2syUOYavVejAGydLOakd9UFA=="/>
    </ext>
  </extLst>
</workbook>
</file>

<file path=xl/calcChain.xml><?xml version="1.0" encoding="utf-8"?>
<calcChain xmlns="http://schemas.openxmlformats.org/spreadsheetml/2006/main">
  <c r="D20" i="4" l="1"/>
  <c r="F15" i="4"/>
  <c r="F12" i="4"/>
  <c r="E12" i="4"/>
  <c r="E11" i="4"/>
  <c r="G11"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FD0B95-DB13-46D5-B5AA-2B0EBF9C4765}" keepAlive="1" name="Query - Central" description="Connection to the 'Central' query in the workbook." type="5" refreshedVersion="8" background="1" saveData="1">
    <dbPr connection="Provider=Microsoft.Mashup.OleDb.1;Data Source=$Workbook$;Location=Central;Extended Properties=&quot;&quot;" command="SELECT * FROM [Central]"/>
  </connection>
  <connection id="2" xr16:uid="{BF24B243-84BA-4402-9215-03B8B7A07C00}" keepAlive="1" name="Query - N  County" description="Connection to the 'N  County' query in the workbook." type="5" refreshedVersion="8" background="1" saveData="1">
    <dbPr connection="Provider=Microsoft.Mashup.OleDb.1;Data Source=$Workbook$;Location=&quot;N  County&quot;;Extended Properties=&quot;&quot;" command="SELECT * FROM [N  County]"/>
  </connection>
  <connection id="3" xr16:uid="{8A72F464-CDEC-4EB7-A17D-9AF2C54B43FC}" keepAlive="1" name="Query - S  County" description="Connection to the 'S  County' query in the workbook." type="5" refreshedVersion="8" background="1" saveData="1">
    <dbPr connection="Provider=Microsoft.Mashup.OleDb.1;Data Source=$Workbook$;Location=&quot;S  County&quot;;Extended Properties=&quot;&quot;" command="SELECT * FROM [S  County]"/>
  </connection>
  <connection id="4" xr16:uid="{ED8B555F-E7A2-433D-A50B-21F0E34178B1}"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s>
</file>

<file path=xl/sharedStrings.xml><?xml version="1.0" encoding="utf-8"?>
<sst xmlns="http://schemas.openxmlformats.org/spreadsheetml/2006/main" count="1199" uniqueCount="359">
  <si>
    <t>Tasks to be performed:</t>
  </si>
  <si>
    <t>Data Extraction:</t>
  </si>
  <si>
    <t>Which is the Area mostly preferred by the customers</t>
  </si>
  <si>
    <t>Which type of property does customers prefer.</t>
  </si>
  <si>
    <t>1) Split the PropertyID-Area-Type into 3 separate columns. (insert 2 columns before splitting).</t>
  </si>
  <si>
    <t>2) Check if the data has any duplicate records</t>
  </si>
  <si>
    <t>3) Delete the duplicate records.</t>
  </si>
  <si>
    <t>4) Standardise the Area by replacing North County with N. County and South County with S. County</t>
  </si>
  <si>
    <t>What is the Average Sq. Ft Price in each Area.</t>
  </si>
  <si>
    <t>(Bar Chart)</t>
  </si>
  <si>
    <t>(Stacked Column Chart - Property available - Property Sold - Area Wise)</t>
  </si>
  <si>
    <t>(Column Chart - Total Alloted - Total Sold - Per Agent)</t>
  </si>
  <si>
    <t>(Donut Chart - With Slicer for each Area)</t>
  </si>
  <si>
    <t>Revenue:</t>
  </si>
  <si>
    <t>What is the total Revenue Generated</t>
  </si>
  <si>
    <t>Area Wise Revenue Generated</t>
  </si>
  <si>
    <t>Agent wise Revenue Generated</t>
  </si>
  <si>
    <t>Which is the slack period of the year (Month wise No. of property sold)</t>
  </si>
  <si>
    <t xml:space="preserve">Sales: </t>
  </si>
  <si>
    <t>Management would like to have insights on the following :</t>
  </si>
  <si>
    <t>The Total No. of Properties Listed</t>
  </si>
  <si>
    <t>The Total No. of Properties Sold</t>
  </si>
  <si>
    <t>Which is the agent who has highest conversion rate.</t>
  </si>
  <si>
    <t>Year Wise Revenue Generated</t>
  </si>
  <si>
    <t>Present your Inferences:</t>
  </si>
  <si>
    <r>
      <t>Problem Statement</t>
    </r>
    <r>
      <rPr>
        <sz val="14"/>
        <color rgb="FF000000"/>
        <rFont val="Times New Roman"/>
        <family val="1"/>
      </rPr>
      <t>:</t>
    </r>
  </si>
  <si>
    <t xml:space="preserve"> An ABC Real Estate Company has agents for the sales of various apartments spread across 3 Areas. The data related to each Area are stored separately in three different files. The compnay hired an analyst for analyzing the business with technical skills. As an excel specialist design an dashboard which gives insights about the business. </t>
  </si>
  <si>
    <t>Property Type Wise Revenue Generated.</t>
  </si>
  <si>
    <t>Data Cleaning &amp; Transformation :</t>
  </si>
  <si>
    <t>5) Convert the dates (Date Listed , Sale Date) into a single standard format (English United Kingdom).</t>
  </si>
  <si>
    <t>6) Display offered price in Dollars with comma separation.</t>
  </si>
  <si>
    <t>7) Sort the data as per Area in the descending order of 'Date Listed'.</t>
  </si>
  <si>
    <t>8) Compute "Per Sqft price" (Round off to 2 decimal places)</t>
  </si>
  <si>
    <t>9) Convert the data into table.</t>
  </si>
  <si>
    <t>10) Compute Total No. of Properties Listed.</t>
  </si>
  <si>
    <t>11) Compute Total No. of Properties Sold.</t>
  </si>
  <si>
    <t>12) Pivot Table - Total No. of properties in each Area and No. of property Sold  (Property Sold )</t>
  </si>
  <si>
    <t>13) Pivot Table - Average Per Sqft price in each Area (Average Per Sqft Price)</t>
  </si>
  <si>
    <t>14) Pivot Table - Agent Wise property alloted and property sold (Agent Conversion)</t>
  </si>
  <si>
    <t>15) Pivot Table - Month wise property sold (in %) - (Slack period if % less than 5)</t>
  </si>
  <si>
    <t>16) Pivot Table - Type Wise, No. of Property and property Sold</t>
  </si>
  <si>
    <t>17) Compute the Total Revenue Generated</t>
  </si>
  <si>
    <t>18) Pivot Table - Total Revenue generated by sales in each Area</t>
  </si>
  <si>
    <t>19) Pivot Table - Total Revenue generated by each Agent (Agentwise Revenue)</t>
  </si>
  <si>
    <t>20) Pivot Table - Total Revenue generated in each year (Yearwise Revenue)</t>
  </si>
  <si>
    <t>21) Pivot Table - Total Revenue generated by sales of each property type.</t>
  </si>
  <si>
    <t>Data Loading for Visualization - Creation of Dashboard.</t>
  </si>
  <si>
    <t>{"hash":"a9fd12768c1d4702ecefb4d13c033354a8e6b20d4bb94efe43671f0d49437c62","version":1,"value":"[[\"=COUNTIF(A1:Z100,\\\"TRUE\\\")\"]]"}</t>
  </si>
  <si>
    <t>Hamilton</t>
  </si>
  <si>
    <t xml:space="preserve">P015110-Central-Single Family </t>
  </si>
  <si>
    <t xml:space="preserve">P015100-Central-Single Family </t>
  </si>
  <si>
    <t>Bennet</t>
  </si>
  <si>
    <t xml:space="preserve">P015098-Central-Single Family </t>
  </si>
  <si>
    <t>Daily</t>
  </si>
  <si>
    <t xml:space="preserve">P015026-Central-Single Family </t>
  </si>
  <si>
    <t xml:space="preserve">P015093-Central-Single Family </t>
  </si>
  <si>
    <t>P015052-Central-Condo</t>
  </si>
  <si>
    <t xml:space="preserve">P015082-Central-Single Family </t>
  </si>
  <si>
    <t>Adams</t>
  </si>
  <si>
    <t>P015065-Central-Condo</t>
  </si>
  <si>
    <t>Chung</t>
  </si>
  <si>
    <t xml:space="preserve">P015059-Central-Single Family </t>
  </si>
  <si>
    <t>P015004-Central-Condo</t>
  </si>
  <si>
    <t xml:space="preserve">P015046-Central-Single Family </t>
  </si>
  <si>
    <t xml:space="preserve">P015117-Central-Single Family </t>
  </si>
  <si>
    <t xml:space="preserve">P015109-Central-Single Family </t>
  </si>
  <si>
    <t xml:space="preserve">P015106-Central-Single Family </t>
  </si>
  <si>
    <t xml:space="preserve">P015111-Central-Single Family </t>
  </si>
  <si>
    <t xml:space="preserve">P015011-Central-Single Family </t>
  </si>
  <si>
    <t xml:space="preserve">P015016-Central-Single Family </t>
  </si>
  <si>
    <t xml:space="preserve">P015120-Central-Single Family </t>
  </si>
  <si>
    <t xml:space="preserve">P015021-Central-Single Family </t>
  </si>
  <si>
    <t xml:space="preserve">P015040-Central-Single Family </t>
  </si>
  <si>
    <t xml:space="preserve">P015006-Central-Single Family </t>
  </si>
  <si>
    <t xml:space="preserve">P015119-Central-Single Family </t>
  </si>
  <si>
    <t xml:space="preserve">P015055-Central-Single Family </t>
  </si>
  <si>
    <t xml:space="preserve">P015108-Central-Single Family </t>
  </si>
  <si>
    <t xml:space="preserve">P015099-Central-Single Family </t>
  </si>
  <si>
    <t>P015125-Central-Condo</t>
  </si>
  <si>
    <t>P015022-Central-Condo</t>
  </si>
  <si>
    <t xml:space="preserve">P015114-Central-Single Family </t>
  </si>
  <si>
    <t xml:space="preserve">P015122-Central-Single Family </t>
  </si>
  <si>
    <t>P015073-Central-Condo</t>
  </si>
  <si>
    <t xml:space="preserve">P015087-Central-Single Family </t>
  </si>
  <si>
    <t xml:space="preserve">P015115-Central-Single Family </t>
  </si>
  <si>
    <t xml:space="preserve">P015092-Central-Single Family </t>
  </si>
  <si>
    <t xml:space="preserve">P015101-Central-Single Family </t>
  </si>
  <si>
    <t xml:space="preserve">P015067-Central-Single Family </t>
  </si>
  <si>
    <t xml:space="preserve">P015015-Central-Single Family </t>
  </si>
  <si>
    <t>P015083-Central-Condo</t>
  </si>
  <si>
    <t xml:space="preserve">P015043-Central-Single Family </t>
  </si>
  <si>
    <t xml:space="preserve">P015118-Central-Single Family </t>
  </si>
  <si>
    <t xml:space="preserve">P015097-Central-Single Family </t>
  </si>
  <si>
    <t xml:space="preserve">P015078-Central-Single Family </t>
  </si>
  <si>
    <t xml:space="preserve">P015068-Central-Single Family </t>
  </si>
  <si>
    <t>P015044-Central-Condo</t>
  </si>
  <si>
    <t xml:space="preserve">P015024-Central-Single Family </t>
  </si>
  <si>
    <t>Sold</t>
  </si>
  <si>
    <t>Pool</t>
  </si>
  <si>
    <t>SqFt</t>
  </si>
  <si>
    <t>Baths</t>
  </si>
  <si>
    <t>Bedrooms</t>
  </si>
  <si>
    <t>offered Price</t>
  </si>
  <si>
    <t>Sale Date</t>
  </si>
  <si>
    <t>Date Listed</t>
  </si>
  <si>
    <t>Agent</t>
  </si>
  <si>
    <t>PropertyID-Area-Type</t>
  </si>
  <si>
    <t xml:space="preserve">P015001-N. County-Single Family </t>
  </si>
  <si>
    <t>P015032-N. County-Condo</t>
  </si>
  <si>
    <t>Barnes</t>
  </si>
  <si>
    <t>P015091-N. County-Condo</t>
  </si>
  <si>
    <t>P015075-N. County-Condo</t>
  </si>
  <si>
    <t xml:space="preserve">P015086-North County-Single Family </t>
  </si>
  <si>
    <t xml:space="preserve">P015061-N. County-Single Family </t>
  </si>
  <si>
    <t xml:space="preserve">P015103-N. County-Single Family </t>
  </si>
  <si>
    <t>P015090-N. County-Condo</t>
  </si>
  <si>
    <t xml:space="preserve">P015071-N. County-Single Family </t>
  </si>
  <si>
    <t xml:space="preserve">P015047-N. County-Single Family </t>
  </si>
  <si>
    <t>P015038-N. County-Condo</t>
  </si>
  <si>
    <t xml:space="preserve">P015112-North County-Single Family </t>
  </si>
  <si>
    <t>P015007-North County-Condo</t>
  </si>
  <si>
    <t>P015023-North County-Condo</t>
  </si>
  <si>
    <t>P015025-N. County-Condo</t>
  </si>
  <si>
    <t xml:space="preserve">P015041-N. County-Single Family </t>
  </si>
  <si>
    <t xml:space="preserve">P015017-N. County-Single Family </t>
  </si>
  <si>
    <t>P015121-N. County-Condo</t>
  </si>
  <si>
    <t>P015095-N. County-Condo</t>
  </si>
  <si>
    <t>P015107-N. County-Condo</t>
  </si>
  <si>
    <t>P015053-N. County-Condo</t>
  </si>
  <si>
    <t>P015081-N. County-Condo</t>
  </si>
  <si>
    <t>P015077-N. County-Condo</t>
  </si>
  <si>
    <t>P015029-North County-Condo</t>
  </si>
  <si>
    <t xml:space="preserve">P015063-N. County-Single Family </t>
  </si>
  <si>
    <t>P015102-N. County-Condo</t>
  </si>
  <si>
    <t xml:space="preserve">P015104-N. County-Single Family </t>
  </si>
  <si>
    <t xml:space="preserve">P015113-N. County-Single Family </t>
  </si>
  <si>
    <t xml:space="preserve">P015009-N. County-Single Family </t>
  </si>
  <si>
    <t xml:space="preserve">P015057-N. County-Single Family </t>
  </si>
  <si>
    <t>P015076-North County-Condo</t>
  </si>
  <si>
    <t>P015094-North County-Condo</t>
  </si>
  <si>
    <t xml:space="preserve">P015042-N. County-Single Family </t>
  </si>
  <si>
    <t>P015002-N. County-Condo</t>
  </si>
  <si>
    <t>P015003-N. County-Condo</t>
  </si>
  <si>
    <t xml:space="preserve">P015074-N. County-Single Family </t>
  </si>
  <si>
    <t>P015037-N. County-Condo</t>
  </si>
  <si>
    <t xml:space="preserve">P015005-North County-Single Family </t>
  </si>
  <si>
    <t>P015014-North County-Condo</t>
  </si>
  <si>
    <t>P015012-North County-Condo</t>
  </si>
  <si>
    <t>P015060-N. County-Condo</t>
  </si>
  <si>
    <t xml:space="preserve">P015089-S. County-Single Family </t>
  </si>
  <si>
    <t xml:space="preserve">P015036-S. County-Single Family </t>
  </si>
  <si>
    <t xml:space="preserve">P015085-S. County-Single Family </t>
  </si>
  <si>
    <t xml:space="preserve">P015124-South County-Single Family </t>
  </si>
  <si>
    <t xml:space="preserve">P015028-S. County-Single Family </t>
  </si>
  <si>
    <t xml:space="preserve">P015027-S. County-Single Family </t>
  </si>
  <si>
    <t>P015079-S. County-Condo</t>
  </si>
  <si>
    <t xml:space="preserve">P015072-S. County-Single Family </t>
  </si>
  <si>
    <t>P015051-S. County-Condo</t>
  </si>
  <si>
    <t xml:space="preserve">P015039-S. County-Single Family </t>
  </si>
  <si>
    <t>P015058-South County-Condo</t>
  </si>
  <si>
    <t>P015050-S. County-Condo</t>
  </si>
  <si>
    <t>P015010-South County-Condo</t>
  </si>
  <si>
    <t xml:space="preserve">P015123-S. County-Single Family </t>
  </si>
  <si>
    <t xml:space="preserve">P015054-S. County-Single Family </t>
  </si>
  <si>
    <t xml:space="preserve">P015070-S. County-Single Family </t>
  </si>
  <si>
    <t>P015018-S. County-Condo</t>
  </si>
  <si>
    <t xml:space="preserve">P015069-S. County-Single Family </t>
  </si>
  <si>
    <t xml:space="preserve">P015084-S. County-Single Family </t>
  </si>
  <si>
    <t xml:space="preserve">P015080-S. County-Single Family </t>
  </si>
  <si>
    <t xml:space="preserve">P015049-S. County-Single Family </t>
  </si>
  <si>
    <t xml:space="preserve">P015066-South County-Single Family </t>
  </si>
  <si>
    <t xml:space="preserve">P015105-S. County-Single Family </t>
  </si>
  <si>
    <t xml:space="preserve">P015031-S. County-Single Family </t>
  </si>
  <si>
    <t xml:space="preserve">P015062-S. County-Single Family </t>
  </si>
  <si>
    <t>P015008-S. County-Condo</t>
  </si>
  <si>
    <t>P015019-S. County-Condo</t>
  </si>
  <si>
    <t xml:space="preserve">P015116-S. County-Single Family </t>
  </si>
  <si>
    <t xml:space="preserve">P015033-S. County-Single Family </t>
  </si>
  <si>
    <t xml:space="preserve">P015020-S. County-Single Family </t>
  </si>
  <si>
    <t xml:space="preserve">P015030-S. County-Single Family </t>
  </si>
  <si>
    <t>P015048-South County-Condo</t>
  </si>
  <si>
    <t xml:space="preserve">P015088-S. County-Single Family </t>
  </si>
  <si>
    <t xml:space="preserve">P015034-S. County-Single Family </t>
  </si>
  <si>
    <t>P015013-S. County-Condo</t>
  </si>
  <si>
    <t xml:space="preserve">P015056-South County-Single Family </t>
  </si>
  <si>
    <t xml:space="preserve">P015035-South County-Single Family </t>
  </si>
  <si>
    <t>P015096-S. County-Condo</t>
  </si>
  <si>
    <t>P015045-S. County-Condo</t>
  </si>
  <si>
    <t xml:space="preserve">P015064-South County-Single Family </t>
  </si>
  <si>
    <t>CCE-2</t>
  </si>
  <si>
    <t>Merge the 3 files (central_data.xls, N.County_data.xls, S.County_data.xls) into a single table</t>
  </si>
  <si>
    <t>Create Interactive Dynamic Dashboard by creating Pivot Charts for the above Pivot Tables by inserting slicer.</t>
  </si>
  <si>
    <t>P015089</t>
  </si>
  <si>
    <t xml:space="preserve">Single Family </t>
  </si>
  <si>
    <t>P015036</t>
  </si>
  <si>
    <t>P015085</t>
  </si>
  <si>
    <t>P015124</t>
  </si>
  <si>
    <t>South County</t>
  </si>
  <si>
    <t>P015028</t>
  </si>
  <si>
    <t>P015027</t>
  </si>
  <si>
    <t>P015079</t>
  </si>
  <si>
    <t>Condo</t>
  </si>
  <si>
    <t>P015072</t>
  </si>
  <si>
    <t>P015051</t>
  </si>
  <si>
    <t>P015039</t>
  </si>
  <si>
    <t>P015058</t>
  </si>
  <si>
    <t>P015050</t>
  </si>
  <si>
    <t>P015010</t>
  </si>
  <si>
    <t>P015123</t>
  </si>
  <si>
    <t>P015054</t>
  </si>
  <si>
    <t>P015070</t>
  </si>
  <si>
    <t>P015018</t>
  </si>
  <si>
    <t>P015069</t>
  </si>
  <si>
    <t>P015084</t>
  </si>
  <si>
    <t>P015080</t>
  </si>
  <si>
    <t>P015049</t>
  </si>
  <si>
    <t>P015066</t>
  </si>
  <si>
    <t>P015105</t>
  </si>
  <si>
    <t>P015031</t>
  </si>
  <si>
    <t>P015062</t>
  </si>
  <si>
    <t>P015008</t>
  </si>
  <si>
    <t>P015019</t>
  </si>
  <si>
    <t>P015116</t>
  </si>
  <si>
    <t>P015033</t>
  </si>
  <si>
    <t>P015020</t>
  </si>
  <si>
    <t>P015030</t>
  </si>
  <si>
    <t>P015048</t>
  </si>
  <si>
    <t>P015088</t>
  </si>
  <si>
    <t>P015034</t>
  </si>
  <si>
    <t>P015013</t>
  </si>
  <si>
    <t>P015056</t>
  </si>
  <si>
    <t>P015035</t>
  </si>
  <si>
    <t>P015096</t>
  </si>
  <si>
    <t>P015045</t>
  </si>
  <si>
    <t>P015064</t>
  </si>
  <si>
    <t>P015001</t>
  </si>
  <si>
    <t>P015032</t>
  </si>
  <si>
    <t>P015091</t>
  </si>
  <si>
    <t>P015075</t>
  </si>
  <si>
    <t>P015086</t>
  </si>
  <si>
    <t>North County</t>
  </si>
  <si>
    <t>P015061</t>
  </si>
  <si>
    <t>P015103</t>
  </si>
  <si>
    <t>P015090</t>
  </si>
  <si>
    <t>P015071</t>
  </si>
  <si>
    <t>P015047</t>
  </si>
  <si>
    <t>P015038</t>
  </si>
  <si>
    <t>P015112</t>
  </si>
  <si>
    <t>P015007</t>
  </si>
  <si>
    <t>P015023</t>
  </si>
  <si>
    <t>P015025</t>
  </si>
  <si>
    <t>P015041</t>
  </si>
  <si>
    <t>P015017</t>
  </si>
  <si>
    <t>P015121</t>
  </si>
  <si>
    <t>P015095</t>
  </si>
  <si>
    <t>P015107</t>
  </si>
  <si>
    <t>P015053</t>
  </si>
  <si>
    <t>P015081</t>
  </si>
  <si>
    <t>P015077</t>
  </si>
  <si>
    <t>P015029</t>
  </si>
  <si>
    <t>P015063</t>
  </si>
  <si>
    <t>P015102</t>
  </si>
  <si>
    <t>P015104</t>
  </si>
  <si>
    <t>P015113</t>
  </si>
  <si>
    <t>P015009</t>
  </si>
  <si>
    <t>P015057</t>
  </si>
  <si>
    <t>P015076</t>
  </si>
  <si>
    <t>P015094</t>
  </si>
  <si>
    <t>P015042</t>
  </si>
  <si>
    <t>P015002</t>
  </si>
  <si>
    <t>P015003</t>
  </si>
  <si>
    <t>P015074</t>
  </si>
  <si>
    <t>P015037</t>
  </si>
  <si>
    <t>P015005</t>
  </si>
  <si>
    <t>P015014</t>
  </si>
  <si>
    <t>P015012</t>
  </si>
  <si>
    <t>P015060</t>
  </si>
  <si>
    <t>P015024</t>
  </si>
  <si>
    <t>Central</t>
  </si>
  <si>
    <t>P015044</t>
  </si>
  <si>
    <t>P015068</t>
  </si>
  <si>
    <t>P015078</t>
  </si>
  <si>
    <t>P015097</t>
  </si>
  <si>
    <t>P015118</t>
  </si>
  <si>
    <t>P015043</t>
  </si>
  <si>
    <t>P015083</t>
  </si>
  <si>
    <t>P015015</t>
  </si>
  <si>
    <t>P015067</t>
  </si>
  <si>
    <t>P015101</t>
  </si>
  <si>
    <t>P015092</t>
  </si>
  <si>
    <t>P015115</t>
  </si>
  <si>
    <t>P015087</t>
  </si>
  <si>
    <t>P015073</t>
  </si>
  <si>
    <t>P015122</t>
  </si>
  <si>
    <t>P015114</t>
  </si>
  <si>
    <t>P015022</t>
  </si>
  <si>
    <t>P015125</t>
  </si>
  <si>
    <t>P015099</t>
  </si>
  <si>
    <t>P015108</t>
  </si>
  <si>
    <t>P015055</t>
  </si>
  <si>
    <t>P015119</t>
  </si>
  <si>
    <t>P015006</t>
  </si>
  <si>
    <t>P015040</t>
  </si>
  <si>
    <t>P015021</t>
  </si>
  <si>
    <t>P015120</t>
  </si>
  <si>
    <t>P015016</t>
  </si>
  <si>
    <t>P015011</t>
  </si>
  <si>
    <t>P015111</t>
  </si>
  <si>
    <t>P015106</t>
  </si>
  <si>
    <t>P015109</t>
  </si>
  <si>
    <t>P015117</t>
  </si>
  <si>
    <t>P015046</t>
  </si>
  <si>
    <t>P015004</t>
  </si>
  <si>
    <t>P015059</t>
  </si>
  <si>
    <t>P015065</t>
  </si>
  <si>
    <t>P015082</t>
  </si>
  <si>
    <t>P015052</t>
  </si>
  <si>
    <t>P015093</t>
  </si>
  <si>
    <t>P015026</t>
  </si>
  <si>
    <t>P015098</t>
  </si>
  <si>
    <t>P015100</t>
  </si>
  <si>
    <t>P015110</t>
  </si>
  <si>
    <t>Area</t>
  </si>
  <si>
    <t>Type</t>
  </si>
  <si>
    <t>PropertyID</t>
  </si>
  <si>
    <t>Price Per SqFt</t>
  </si>
  <si>
    <t>No</t>
  </si>
  <si>
    <t>Yes</t>
  </si>
  <si>
    <t>Offered Price</t>
  </si>
  <si>
    <t>There is a conversion rate of 33.60%</t>
  </si>
  <si>
    <t>Conv Rate -</t>
  </si>
  <si>
    <t xml:space="preserve">The total revenue generated till date is $12.4M </t>
  </si>
  <si>
    <t>Grand Total</t>
  </si>
  <si>
    <t>Count of PropertyID</t>
  </si>
  <si>
    <t>Column Labels</t>
  </si>
  <si>
    <t xml:space="preserve">Count </t>
  </si>
  <si>
    <t>Average of Price Per SqFt</t>
  </si>
  <si>
    <t>Jan</t>
  </si>
  <si>
    <t>Feb</t>
  </si>
  <si>
    <t>Mar</t>
  </si>
  <si>
    <t>Apr</t>
  </si>
  <si>
    <t>May</t>
  </si>
  <si>
    <t>Jun</t>
  </si>
  <si>
    <t>Jul</t>
  </si>
  <si>
    <t>Aug</t>
  </si>
  <si>
    <t>Sep</t>
  </si>
  <si>
    <t>Oct</t>
  </si>
  <si>
    <t>Nov</t>
  </si>
  <si>
    <t>Dec</t>
  </si>
  <si>
    <t>Month</t>
  </si>
  <si>
    <t>12. Total No. of properties in each Area and No. of property Sold  (Property Sold )</t>
  </si>
  <si>
    <t>13. Average Per Sqft price in each Area (Average Per Sqft Price)</t>
  </si>
  <si>
    <t>14. Agent Wise property alloted and property sold (Agent Conversion)</t>
  </si>
  <si>
    <t>15. Month wise property sold (in %) - (Slack period if % less than 5)</t>
  </si>
  <si>
    <t>Revenue Generated</t>
  </si>
  <si>
    <t>2022</t>
  </si>
  <si>
    <t>2023</t>
  </si>
  <si>
    <t>2024</t>
  </si>
  <si>
    <t>Total Revenue Generated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</si>
</sst>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quot;£&quot;* #,##0.00_-;_-&quot;£&quot;* &quot;-&quot;??_-;_-@_-"/>
    <numFmt numFmtId="43" formatCode="_-* #,##0.00_-;\-* #,##0.00_-;_-* &quot;-&quot;??_-;_-@_-"/>
    <numFmt numFmtId="164" formatCode="_ * #,##0.00_ ;_ * \-#,##0.00_ ;_ * &quot;-&quot;??_ ;_ @_ "/>
    <numFmt numFmtId="165" formatCode="&quot;$&quot;#,##0.00"/>
    <numFmt numFmtId="166" formatCode="[$-809]dd\ mmmm\ yyyy;@"/>
    <numFmt numFmtId="167" formatCode="_-[$$-409]* #,##0.00_ ;_-[$$-409]* \-#,##0.00\ ;_-[$$-409]* &quot;-&quot;??_ ;_-@_ "/>
  </numFmts>
  <fonts count="18" x14ac:knownFonts="1">
    <font>
      <sz val="11"/>
      <color theme="1"/>
      <name val="Arial"/>
    </font>
    <font>
      <sz val="11"/>
      <color theme="1"/>
      <name val="Calibri"/>
      <family val="2"/>
    </font>
    <font>
      <sz val="11"/>
      <color theme="1"/>
      <name val="Arial"/>
      <family val="2"/>
    </font>
    <font>
      <b/>
      <sz val="11"/>
      <color theme="1"/>
      <name val="Arial"/>
      <family val="2"/>
    </font>
    <font>
      <b/>
      <sz val="20"/>
      <color theme="1"/>
      <name val="Times New Roman"/>
      <family val="1"/>
    </font>
    <font>
      <sz val="11"/>
      <color rgb="FFFF0000"/>
      <name val="Arial"/>
      <family val="2"/>
    </font>
    <font>
      <sz val="11"/>
      <color theme="1"/>
      <name val="Arial"/>
      <family val="2"/>
    </font>
    <font>
      <b/>
      <sz val="14"/>
      <color rgb="FF000000"/>
      <name val="Times New Roman"/>
      <family val="1"/>
    </font>
    <font>
      <sz val="14"/>
      <color rgb="FF000000"/>
      <name val="Times New Roman"/>
      <family val="1"/>
    </font>
    <font>
      <b/>
      <sz val="14"/>
      <color theme="1"/>
      <name val="Times New Roman"/>
      <family val="1"/>
    </font>
    <font>
      <sz val="14"/>
      <color theme="1"/>
      <name val="Times New Roman"/>
      <family val="1"/>
    </font>
    <font>
      <sz val="14"/>
      <color rgb="FFFF0000"/>
      <name val="Times New Roman"/>
      <family val="1"/>
    </font>
    <font>
      <sz val="14"/>
      <name val="Times New Roman"/>
      <family val="1"/>
    </font>
    <font>
      <sz val="13"/>
      <color theme="1"/>
      <name val="Times New Roman"/>
      <family val="1"/>
    </font>
    <font>
      <sz val="12"/>
      <color theme="1"/>
      <name val="Times New Roman"/>
      <family val="1"/>
    </font>
    <font>
      <b/>
      <sz val="12"/>
      <color theme="1"/>
      <name val="Times New Roman"/>
      <family val="1"/>
    </font>
    <font>
      <b/>
      <sz val="11"/>
      <color theme="1"/>
      <name val="Calibri"/>
      <family val="2"/>
    </font>
    <font>
      <sz val="11"/>
      <color theme="1"/>
      <name val="Arial"/>
      <family val="2"/>
    </font>
  </fonts>
  <fills count="9">
    <fill>
      <patternFill patternType="none"/>
    </fill>
    <fill>
      <patternFill patternType="gray125"/>
    </fill>
    <fill>
      <patternFill patternType="solid">
        <fgColor theme="6" tint="0.5999938962981048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5">
    <xf numFmtId="0" fontId="0" fillId="0" borderId="0"/>
    <xf numFmtId="0" fontId="2" fillId="0" borderId="0"/>
    <xf numFmtId="164" fontId="2" fillId="0" borderId="0" applyFont="0" applyFill="0" applyBorder="0" applyAlignment="0" applyProtection="0"/>
    <xf numFmtId="43" fontId="6" fillId="0" borderId="0" applyFont="0" applyFill="0" applyBorder="0" applyAlignment="0" applyProtection="0"/>
    <xf numFmtId="44" fontId="17" fillId="0" borderId="0" applyFont="0" applyFill="0" applyBorder="0" applyAlignment="0" applyProtection="0"/>
  </cellStyleXfs>
  <cellXfs count="51">
    <xf numFmtId="0" fontId="0" fillId="0" borderId="0" xfId="0"/>
    <xf numFmtId="0" fontId="2" fillId="0" borderId="0" xfId="0" applyFont="1"/>
    <xf numFmtId="0" fontId="1" fillId="0" borderId="0" xfId="1" applyFont="1"/>
    <xf numFmtId="0" fontId="5" fillId="0" borderId="0" xfId="0" applyFont="1"/>
    <xf numFmtId="0" fontId="0" fillId="2" borderId="0" xfId="0" applyFill="1"/>
    <xf numFmtId="0" fontId="3" fillId="2" borderId="0" xfId="0" applyFont="1" applyFill="1"/>
    <xf numFmtId="0" fontId="2" fillId="4" borderId="0" xfId="0" applyFont="1" applyFill="1"/>
    <xf numFmtId="0" fontId="0" fillId="4" borderId="0" xfId="0" applyFill="1"/>
    <xf numFmtId="0" fontId="7" fillId="2" borderId="0" xfId="0" applyFont="1" applyFill="1"/>
    <xf numFmtId="0" fontId="10" fillId="0" borderId="0" xfId="0" applyFont="1"/>
    <xf numFmtId="0" fontId="10" fillId="2" borderId="0" xfId="0" applyFont="1" applyFill="1"/>
    <xf numFmtId="0" fontId="9" fillId="6" borderId="0" xfId="0" applyFont="1" applyFill="1"/>
    <xf numFmtId="0" fontId="10" fillId="6" borderId="0" xfId="0" applyFont="1" applyFill="1"/>
    <xf numFmtId="0" fontId="9" fillId="2" borderId="0" xfId="0" applyFont="1" applyFill="1"/>
    <xf numFmtId="0" fontId="10" fillId="4" borderId="0" xfId="0" applyFont="1" applyFill="1"/>
    <xf numFmtId="0" fontId="10" fillId="5" borderId="1" xfId="0" applyFont="1" applyFill="1" applyBorder="1"/>
    <xf numFmtId="0" fontId="11" fillId="4" borderId="0" xfId="0" applyFont="1" applyFill="1"/>
    <xf numFmtId="0" fontId="12" fillId="4" borderId="0" xfId="0" applyFont="1" applyFill="1"/>
    <xf numFmtId="0" fontId="10" fillId="4" borderId="2" xfId="0" applyFont="1" applyFill="1" applyBorder="1"/>
    <xf numFmtId="0" fontId="10" fillId="4" borderId="3" xfId="0" applyFont="1" applyFill="1" applyBorder="1"/>
    <xf numFmtId="0" fontId="13" fillId="4" borderId="0" xfId="0" applyFont="1" applyFill="1"/>
    <xf numFmtId="0" fontId="3" fillId="7" borderId="0" xfId="0" applyFont="1" applyFill="1"/>
    <xf numFmtId="0" fontId="0" fillId="7" borderId="0" xfId="0" applyFill="1"/>
    <xf numFmtId="0" fontId="0" fillId="3" borderId="0" xfId="0" applyFill="1"/>
    <xf numFmtId="165" fontId="10" fillId="4" borderId="0" xfId="0" applyNumberFormat="1" applyFont="1" applyFill="1"/>
    <xf numFmtId="0" fontId="2" fillId="0" borderId="0" xfId="1"/>
    <xf numFmtId="0" fontId="14" fillId="0" borderId="1" xfId="1" applyFont="1" applyBorder="1"/>
    <xf numFmtId="3" fontId="14" fillId="0" borderId="1" xfId="1" applyNumberFormat="1" applyFont="1" applyBorder="1" applyAlignment="1">
      <alignment horizontal="right"/>
    </xf>
    <xf numFmtId="1" fontId="14" fillId="0" borderId="1" xfId="1" applyNumberFormat="1" applyFont="1" applyBorder="1"/>
    <xf numFmtId="14" fontId="14" fillId="0" borderId="1" xfId="1" applyNumberFormat="1" applyFont="1" applyBorder="1"/>
    <xf numFmtId="166" fontId="14" fillId="0" borderId="1" xfId="1" applyNumberFormat="1" applyFont="1" applyBorder="1"/>
    <xf numFmtId="0" fontId="15" fillId="8" borderId="1" xfId="1" applyFont="1" applyFill="1" applyBorder="1" applyAlignment="1">
      <alignment horizontal="center"/>
    </xf>
    <xf numFmtId="14" fontId="1" fillId="0" borderId="0" xfId="1" applyNumberFormat="1" applyFont="1"/>
    <xf numFmtId="14" fontId="15" fillId="8" borderId="1" xfId="1" applyNumberFormat="1" applyFont="1" applyFill="1" applyBorder="1" applyAlignment="1">
      <alignment horizontal="center"/>
    </xf>
    <xf numFmtId="0" fontId="16" fillId="0" borderId="0" xfId="1" applyFont="1"/>
    <xf numFmtId="167" fontId="14" fillId="0" borderId="1" xfId="1" applyNumberFormat="1" applyFont="1" applyBorder="1"/>
    <xf numFmtId="0" fontId="15" fillId="8" borderId="4" xfId="1" applyFont="1" applyFill="1" applyBorder="1" applyAlignment="1">
      <alignment horizontal="center"/>
    </xf>
    <xf numFmtId="0" fontId="15" fillId="8" borderId="5" xfId="1" applyFont="1" applyFill="1" applyBorder="1" applyAlignment="1">
      <alignment horizontal="center"/>
    </xf>
    <xf numFmtId="0" fontId="15" fillId="8" borderId="6" xfId="1" applyFont="1" applyFill="1" applyBorder="1" applyAlignment="1">
      <alignment horizontal="center"/>
    </xf>
    <xf numFmtId="14" fontId="15" fillId="8" borderId="6" xfId="1" applyNumberFormat="1" applyFont="1" applyFill="1" applyBorder="1" applyAlignment="1">
      <alignment horizontal="center"/>
    </xf>
    <xf numFmtId="167" fontId="0" fillId="0" borderId="1" xfId="0" applyNumberFormat="1" applyBorder="1"/>
    <xf numFmtId="167" fontId="10" fillId="4" borderId="0" xfId="4" applyNumberFormat="1" applyFont="1" applyFill="1"/>
    <xf numFmtId="167" fontId="10" fillId="5" borderId="1" xfId="3" applyNumberFormat="1" applyFont="1" applyFill="1" applyBorder="1"/>
    <xf numFmtId="10" fontId="10" fillId="4" borderId="0" xfId="0" applyNumberFormat="1" applyFont="1" applyFill="1"/>
    <xf numFmtId="0" fontId="0" fillId="0" borderId="0" xfId="0" pivotButton="1"/>
    <xf numFmtId="0" fontId="0" fillId="0" borderId="0" xfId="0" applyAlignment="1">
      <alignment horizontal="left"/>
    </xf>
    <xf numFmtId="167" fontId="0" fillId="0" borderId="0" xfId="0" applyNumberFormat="1"/>
    <xf numFmtId="10" fontId="0" fillId="0" borderId="0" xfId="0" applyNumberFormat="1"/>
    <xf numFmtId="0" fontId="3" fillId="0" borderId="0" xfId="0" applyFont="1"/>
    <xf numFmtId="0" fontId="4" fillId="3" borderId="0" xfId="0" applyFont="1" applyFill="1" applyAlignment="1">
      <alignment horizontal="center"/>
    </xf>
    <xf numFmtId="0" fontId="8" fillId="4" borderId="0" xfId="0" applyFont="1" applyFill="1" applyAlignment="1">
      <alignment horizontal="left" vertical="top" wrapText="1"/>
    </xf>
  </cellXfs>
  <cellStyles count="5">
    <cellStyle name="Comma" xfId="3" builtinId="3"/>
    <cellStyle name="Comma 2" xfId="2" xr:uid="{409C666A-B53D-4545-B144-10342875FD19}"/>
    <cellStyle name="Currency" xfId="4" builtinId="4"/>
    <cellStyle name="Normal" xfId="0" builtinId="0"/>
    <cellStyle name="Normal 2" xfId="1" xr:uid="{BCB12420-8D8B-46A1-8179-0E64E513EC5B}"/>
  </cellStyles>
  <dxfs count="17">
    <dxf>
      <numFmt numFmtId="167" formatCode="_-[$$-409]* #,##0.00_ ;_-[$$-409]* \-#,##0.00\ ;_-[$$-409]* &quot;-&quot;??_ ;_-@_ "/>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numFmt numFmtId="3" formatCode="#,##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numFmt numFmtId="167" formatCode="_-[$$-409]* #,##0.00_ ;_-[$$-409]* \-#,##0.00\ ;_-[$$-409]* &quot;-&quot;??_ ;_-@_ "/>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border>
    </dxf>
    <dxf>
      <font>
        <b val="0"/>
        <i val="0"/>
        <strike val="0"/>
        <condense val="0"/>
        <extend val="0"/>
        <outline val="0"/>
        <shadow val="0"/>
        <u val="none"/>
        <vertAlign val="baseline"/>
        <sz val="12"/>
        <color theme="1"/>
        <name val="Times New Roman"/>
        <family val="1"/>
        <scheme val="none"/>
      </font>
    </dxf>
    <dxf>
      <font>
        <b/>
        <i val="0"/>
        <strike val="0"/>
        <condense val="0"/>
        <extend val="0"/>
        <outline val="0"/>
        <shadow val="0"/>
        <u val="none"/>
        <vertAlign val="baseline"/>
        <sz val="12"/>
        <color theme="1"/>
        <name val="Times New Roman"/>
        <family val="1"/>
        <scheme val="none"/>
      </font>
      <fill>
        <patternFill patternType="solid">
          <fgColor indexed="64"/>
          <bgColor theme="9" tint="0.5999938962981048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color theme="5"/>
        <name val="Gulim"/>
        <family val="2"/>
        <charset val="129"/>
        <scheme val="none"/>
      </font>
      <fill>
        <patternFill>
          <bgColor theme="1" tint="0.34998626667073579"/>
        </patternFill>
      </fill>
      <border diagonalUp="0" diagonalDown="0">
        <left/>
        <right/>
        <top/>
        <bottom/>
        <vertical/>
        <horizontal/>
      </border>
    </dxf>
  </dxfs>
  <tableStyles count="2" defaultTableStyle="TableStyleMedium2" defaultPivotStyle="PivotStyleLight16">
    <tableStyle name="Slicer Style 1" pivot="0" table="0" count="1" xr9:uid="{E68A4956-CF7B-4CA0-B8EB-BAF25A682D22}">
      <tableStyleElement type="wholeTable" dxfId="16"/>
    </tableStyle>
    <tableStyle name="Slicer Style 2" pivot="0" table="0" count="1" xr9:uid="{8D4165DD-F4A6-43D1-8072-33456E7F5103}"/>
  </tableStyles>
  <extLst>
    <ext xmlns:x14="http://schemas.microsoft.com/office/spreadsheetml/2009/9/main" uri="{46F421CA-312F-682f-3DD2-61675219B42D}">
      <x14:dxfs count="1">
        <dxf>
          <fill>
            <patternFill>
              <bgColor theme="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26"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5" Type="http://customschemas.google.com/relationships/workbookmetadata" Target="metadata"/><Relationship Id="rId33" Type="http://schemas.openxmlformats.org/officeDocument/2006/relationships/customXml" Target="../customXml/item3.xml"/><Relationship Id="rId2" Type="http://schemas.openxmlformats.org/officeDocument/2006/relationships/worksheet" Target="worksheets/sheet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32" Type="http://schemas.openxmlformats.org/officeDocument/2006/relationships/customXml" Target="../customXml/item2.xml"/><Relationship Id="rId5" Type="http://schemas.openxmlformats.org/officeDocument/2006/relationships/worksheet" Target="worksheets/sheet5.xml"/><Relationship Id="rId28" Type="http://schemas.openxmlformats.org/officeDocument/2006/relationships/styles" Target="styles.xml"/><Relationship Id="rId10" Type="http://schemas.openxmlformats.org/officeDocument/2006/relationships/pivotCacheDefinition" Target="pivotCache/pivotCacheDefinition1.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27" Type="http://schemas.openxmlformats.org/officeDocument/2006/relationships/connections" Target="connection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[SonalPrajapati_25700214_Worksheet for excel cce2 sem2.xlsx]PivotTable!Area vs property sold</c:name>
    <c:fmtId val="1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Area vs Properties Sold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PivotTable!$B$3:$B$4</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PivotTable!$A$5:$A$7</c:f>
              <c:strCache>
                <c:ptCount val="3"/>
                <c:pt idx="0">
                  <c:v>Central</c:v>
                </c:pt>
                <c:pt idx="1">
                  <c:v>North County</c:v>
                </c:pt>
                <c:pt idx="2">
                  <c:v>South County</c:v>
                </c:pt>
              </c:strCache>
            </c:strRef>
          </c:cat>
          <c:val>
            <c:numRef>
              <c:f>PivotTable!$B$5:$B$7</c:f>
              <c:numCache>
                <c:formatCode>General</c:formatCode>
                <c:ptCount val="3"/>
                <c:pt idx="0">
                  <c:v>33</c:v>
                </c:pt>
                <c:pt idx="1">
                  <c:v>26</c:v>
                </c:pt>
                <c:pt idx="2">
                  <c:v>24</c:v>
                </c:pt>
              </c:numCache>
            </c:numRef>
          </c:val>
          <c:extLst>
            <c:ext xmlns:c16="http://schemas.microsoft.com/office/drawing/2014/chart" uri="{C3380CC4-5D6E-409C-BE32-E72D297353CC}">
              <c16:uniqueId val="{00000000-87AD-4219-BAC3-4344B7518220}"/>
            </c:ext>
          </c:extLst>
        </c:ser>
        <c:ser>
          <c:idx val="1"/>
          <c:order val="1"/>
          <c:tx>
            <c:strRef>
              <c:f>PivotTable!$C$3:$C$4</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PivotTable!$A$5:$A$7</c:f>
              <c:strCache>
                <c:ptCount val="3"/>
                <c:pt idx="0">
                  <c:v>Central</c:v>
                </c:pt>
                <c:pt idx="1">
                  <c:v>North County</c:v>
                </c:pt>
                <c:pt idx="2">
                  <c:v>South County</c:v>
                </c:pt>
              </c:strCache>
            </c:strRef>
          </c:cat>
          <c:val>
            <c:numRef>
              <c:f>PivotTable!$C$5:$C$7</c:f>
              <c:numCache>
                <c:formatCode>General</c:formatCode>
                <c:ptCount val="3"/>
                <c:pt idx="0">
                  <c:v>11</c:v>
                </c:pt>
                <c:pt idx="1">
                  <c:v>15</c:v>
                </c:pt>
                <c:pt idx="2">
                  <c:v>16</c:v>
                </c:pt>
              </c:numCache>
            </c:numRef>
          </c:val>
          <c:extLst>
            <c:ext xmlns:c16="http://schemas.microsoft.com/office/drawing/2014/chart" uri="{C3380CC4-5D6E-409C-BE32-E72D297353CC}">
              <c16:uniqueId val="{00000001-87AD-4219-BAC3-4344B7518220}"/>
            </c:ext>
          </c:extLst>
        </c:ser>
        <c:dLbls>
          <c:dLblPos val="inEnd"/>
          <c:showLegendKey val="0"/>
          <c:showVal val="1"/>
          <c:showCatName val="0"/>
          <c:showSerName val="0"/>
          <c:showPercent val="0"/>
          <c:showBubbleSize val="0"/>
        </c:dLbls>
        <c:gapWidth val="182"/>
        <c:overlap val="-50"/>
        <c:axId val="1968211983"/>
        <c:axId val="1968212463"/>
      </c:barChart>
      <c:catAx>
        <c:axId val="196821198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8212463"/>
        <c:crosses val="autoZero"/>
        <c:auto val="1"/>
        <c:lblAlgn val="ctr"/>
        <c:lblOffset val="100"/>
        <c:noMultiLvlLbl val="0"/>
      </c:catAx>
      <c:valAx>
        <c:axId val="196821246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821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[SonalPrajapati_25700214_Worksheet for excel cce2 sem2.xlsx]PivotTable!Area wise avg price</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Area-wise Average Price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PivotTable!$B$11</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PivotTable!$A$12:$A$14</c:f>
              <c:strCache>
                <c:ptCount val="3"/>
                <c:pt idx="0">
                  <c:v>Central</c:v>
                </c:pt>
                <c:pt idx="1">
                  <c:v>North County</c:v>
                </c:pt>
                <c:pt idx="2">
                  <c:v>South County</c:v>
                </c:pt>
              </c:strCache>
            </c:strRef>
          </c:cat>
          <c:val>
            <c:numRef>
              <c:f>PivotTable!$B$12:$B$14</c:f>
              <c:numCache>
                <c:formatCode>_-[$$-409]* #,##0.00_ ;_-[$$-409]* \-#,##0.00\ ;_-[$$-409]* "-"??_ ;_-@_ </c:formatCode>
                <c:ptCount val="3"/>
                <c:pt idx="0">
                  <c:v>142.84546240023644</c:v>
                </c:pt>
                <c:pt idx="1">
                  <c:v>148.32748457417523</c:v>
                </c:pt>
                <c:pt idx="2">
                  <c:v>125.85874196370682</c:v>
                </c:pt>
              </c:numCache>
            </c:numRef>
          </c:val>
          <c:extLst>
            <c:ext xmlns:c16="http://schemas.microsoft.com/office/drawing/2014/chart" uri="{C3380CC4-5D6E-409C-BE32-E72D297353CC}">
              <c16:uniqueId val="{00000000-066E-41CB-BD23-C7179AEF9426}"/>
            </c:ext>
          </c:extLst>
        </c:ser>
        <c:dLbls>
          <c:showLegendKey val="0"/>
          <c:showVal val="0"/>
          <c:showCatName val="0"/>
          <c:showSerName val="0"/>
          <c:showPercent val="0"/>
          <c:showBubbleSize val="0"/>
        </c:dLbls>
        <c:gapWidth val="315"/>
        <c:overlap val="-40"/>
        <c:axId val="1905544575"/>
        <c:axId val="1905545535"/>
      </c:barChart>
      <c:catAx>
        <c:axId val="19055445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5545535"/>
        <c:crosses val="autoZero"/>
        <c:auto val="1"/>
        <c:lblAlgn val="ctr"/>
        <c:lblOffset val="100"/>
        <c:noMultiLvlLbl val="0"/>
      </c:catAx>
      <c:valAx>
        <c:axId val="19055455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554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[SonalPrajapati_25700214_Worksheet for excel cce2 sem2.xlsx]PivotTable!Agent wise property sold</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Agent-wise Property Sold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PivotTable!$B$17:$B$18</c:f>
              <c:strCache>
                <c:ptCount val="1"/>
                <c:pt idx="0">
                  <c:v>Yes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PivotTable!$A$19:$A$24</c:f>
              <c:strCache>
                <c:ptCount val="6"/>
                <c:pt idx="0">
                  <c:v>Adams</c:v>
                </c:pt>
                <c:pt idx="1">
                  <c:v>Barnes</c:v>
                </c:pt>
                <c:pt idx="2">
                  <c:v>Bennet</c:v>
                </c:pt>
                <c:pt idx="3">
                  <c:v>Chung</c:v>
                </c:pt>
                <c:pt idx="4">
                  <c:v>Daily</c:v>
                </c:pt>
                <c:pt idx="5">
                  <c:v>Hamilton</c:v>
                </c:pt>
              </c:strCache>
            </c:strRef>
          </c:cat>
          <c:val>
            <c:numRef>
              <c:f>PivotTable!$B$19:$B$24</c:f>
              <c:numCache>
                <c:formatCode>0.00%</c:formatCode>
                <c:ptCount val="6"/>
                <c:pt idx="0">
                  <c:v>0.30769230769230771</c:v>
                </c:pt>
                <c:pt idx="1">
                  <c:v>0.5</c:v>
                </c:pt>
                <c:pt idx="2">
                  <c:v>0.16666666666666666</c:v>
                </c:pt>
                <c:pt idx="3">
                  <c:v>0.4</c:v>
                </c:pt>
                <c:pt idx="4">
                  <c:v>0.16666666666666666</c:v>
                </c:pt>
                <c:pt idx="5">
                  <c:v>0.34146341463414637</c:v>
                </c:pt>
              </c:numCache>
            </c:numRef>
          </c:val>
          <c:extLst>
            <c:ext xmlns:c16="http://schemas.microsoft.com/office/drawing/2014/chart" uri="{C3380CC4-5D6E-409C-BE32-E72D297353CC}">
              <c16:uniqueId val="{00000000-98AA-4C40-982D-561713124D4C}"/>
            </c:ext>
          </c:extLst>
        </c:ser>
        <c:ser>
          <c:idx val="1"/>
          <c:order val="1"/>
          <c:tx>
            <c:strRef>
              <c:f>PivotTable!$C$17:$C$18</c:f>
              <c:strCache>
                <c:ptCount val="1"/>
                <c:pt idx="0">
                  <c:v>No</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PivotTable!$A$19:$A$24</c:f>
              <c:strCache>
                <c:ptCount val="6"/>
                <c:pt idx="0">
                  <c:v>Adams</c:v>
                </c:pt>
                <c:pt idx="1">
                  <c:v>Barnes</c:v>
                </c:pt>
                <c:pt idx="2">
                  <c:v>Bennet</c:v>
                </c:pt>
                <c:pt idx="3">
                  <c:v>Chung</c:v>
                </c:pt>
                <c:pt idx="4">
                  <c:v>Daily</c:v>
                </c:pt>
                <c:pt idx="5">
                  <c:v>Hamilton</c:v>
                </c:pt>
              </c:strCache>
            </c:strRef>
          </c:cat>
          <c:val>
            <c:numRef>
              <c:f>PivotTable!$C$19:$C$24</c:f>
              <c:numCache>
                <c:formatCode>0.00%</c:formatCode>
                <c:ptCount val="6"/>
                <c:pt idx="0">
                  <c:v>0.69230769230769229</c:v>
                </c:pt>
                <c:pt idx="1">
                  <c:v>0.5</c:v>
                </c:pt>
                <c:pt idx="2">
                  <c:v>0.83333333333333337</c:v>
                </c:pt>
                <c:pt idx="3">
                  <c:v>0.6</c:v>
                </c:pt>
                <c:pt idx="4">
                  <c:v>0.83333333333333337</c:v>
                </c:pt>
                <c:pt idx="5">
                  <c:v>0.65853658536585369</c:v>
                </c:pt>
              </c:numCache>
            </c:numRef>
          </c:val>
          <c:extLst>
            <c:ext xmlns:c16="http://schemas.microsoft.com/office/drawing/2014/chart" uri="{C3380CC4-5D6E-409C-BE32-E72D297353CC}">
              <c16:uniqueId val="{00000001-98AA-4C40-982D-561713124D4C}"/>
            </c:ext>
          </c:extLst>
        </c:ser>
        <c:dLbls>
          <c:showLegendKey val="0"/>
          <c:showVal val="0"/>
          <c:showCatName val="0"/>
          <c:showSerName val="0"/>
          <c:showPercent val="0"/>
          <c:showBubbleSize val="0"/>
        </c:dLbls>
        <c:gapWidth val="182"/>
        <c:overlap val="-50"/>
        <c:axId val="1905027343"/>
        <c:axId val="1905027823"/>
      </c:barChart>
      <c:catAx>
        <c:axId val="190502734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5027823"/>
        <c:crosses val="autoZero"/>
        <c:auto val="1"/>
        <c:lblAlgn val="ctr"/>
        <c:lblOffset val="100"/>
        <c:noMultiLvlLbl val="0"/>
      </c:catAx>
      <c:valAx>
        <c:axId val="190502782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502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[SonalPrajapati_25700214_Worksheet for excel cce2 sem2.xlsx]PivotTable!Monthly sale</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Count of Properties Sold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PivotTable!$B$27:$B$28</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PivotTable!$A$29:$A$41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PivotTable!$B$29:$B$41</c:f>
              <c:numCache>
                <c:formatCode>General</c:formatCode>
                <c:ptCount val="12"/>
                <c:pt idx="0">
                  <c:v>6</c:v>
                </c:pt>
                <c:pt idx="1">
                  <c:v>2</c:v>
                </c:pt>
                <c:pt idx="2">
                  <c:v>2</c:v>
                </c:pt>
                <c:pt idx="3">
                  <c:v>4</c:v>
                </c:pt>
                <c:pt idx="4">
                  <c:v>4</c:v>
                </c:pt>
                <c:pt idx="5">
                  <c:v>1</c:v>
                </c:pt>
                <c:pt idx="6">
                  <c:v>3</c:v>
                </c:pt>
                <c:pt idx="7">
                  <c:v>3</c:v>
                </c:pt>
                <c:pt idx="8">
                  <c:v>4</c:v>
                </c:pt>
                <c:pt idx="9">
                  <c:v>4</c:v>
                </c:pt>
                <c:pt idx="10">
                  <c:v>6</c:v>
                </c:pt>
                <c:pt idx="11">
                  <c:v>3</c:v>
                </c:pt>
              </c:numCache>
            </c:numRef>
          </c:val>
          <c:smooth val="0"/>
          <c:extLst>
            <c:ext xmlns:c16="http://schemas.microsoft.com/office/drawing/2014/chart" uri="{C3380CC4-5D6E-409C-BE32-E72D297353CC}">
              <c16:uniqueId val="{00000000-2671-4D9F-A2BB-4F72F76CC548}"/>
            </c:ext>
          </c:extLst>
        </c:ser>
        <c:dLbls>
          <c:showLegendKey val="0"/>
          <c:showVal val="0"/>
          <c:showCatName val="0"/>
          <c:showSerName val="0"/>
          <c:showPercent val="0"/>
          <c:showBubbleSize val="0"/>
        </c:dLbls>
        <c:marker val="1"/>
        <c:smooth val="0"/>
        <c:axId val="1579042367"/>
        <c:axId val="1977687535"/>
      </c:lineChart>
      <c:catAx>
        <c:axId val="15790423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77687535"/>
        <c:crosses val="autoZero"/>
        <c:auto val="1"/>
        <c:lblAlgn val="ctr"/>
        <c:lblOffset val="100"/>
        <c:noMultiLvlLbl val="0"/>
      </c:catAx>
      <c:valAx>
        <c:axId val="19776875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904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[SonalPrajapati_25700214_Worksheet for excel cce2 sem2.xlsx]PivotTable!Type wise revenue regenerated</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Type-wise Count of Properties</a:t>
            </a:r>
            <a:r>
              <a:rPr lang="en-GB" baseline="0"/>
              <a:t> Sold</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PivotTable!$B$45:$B$46</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PivotTable!$A$47:$A$48</c:f>
              <c:strCache>
                <c:ptCount val="2"/>
                <c:pt idx="0">
                  <c:v>Condo</c:v>
                </c:pt>
                <c:pt idx="1">
                  <c:v>Single Family </c:v>
                </c:pt>
              </c:strCache>
            </c:strRef>
          </c:cat>
          <c:val>
            <c:numRef>
              <c:f>PivotTable!$B$47:$B$48</c:f>
              <c:numCache>
                <c:formatCode>General</c:formatCode>
                <c:ptCount val="2"/>
                <c:pt idx="0">
                  <c:v>29</c:v>
                </c:pt>
                <c:pt idx="1">
                  <c:v>54</c:v>
                </c:pt>
              </c:numCache>
            </c:numRef>
          </c:val>
          <c:extLst>
            <c:ext xmlns:c16="http://schemas.microsoft.com/office/drawing/2014/chart" uri="{C3380CC4-5D6E-409C-BE32-E72D297353CC}">
              <c16:uniqueId val="{00000000-6DAA-4100-9C68-5FDBD3EB38B9}"/>
            </c:ext>
          </c:extLst>
        </c:ser>
        <c:ser>
          <c:idx val="1"/>
          <c:order val="1"/>
          <c:tx>
            <c:strRef>
              <c:f>PivotTable!$C$45:$C$46</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PivotTable!$A$47:$A$48</c:f>
              <c:strCache>
                <c:ptCount val="2"/>
                <c:pt idx="0">
                  <c:v>Condo</c:v>
                </c:pt>
                <c:pt idx="1">
                  <c:v>Single Family </c:v>
                </c:pt>
              </c:strCache>
            </c:strRef>
          </c:cat>
          <c:val>
            <c:numRef>
              <c:f>PivotTable!$C$47:$C$48</c:f>
              <c:numCache>
                <c:formatCode>General</c:formatCode>
                <c:ptCount val="2"/>
                <c:pt idx="0">
                  <c:v>15</c:v>
                </c:pt>
                <c:pt idx="1">
                  <c:v>27</c:v>
                </c:pt>
              </c:numCache>
            </c:numRef>
          </c:val>
          <c:extLst>
            <c:ext xmlns:c16="http://schemas.microsoft.com/office/drawing/2014/chart" uri="{C3380CC4-5D6E-409C-BE32-E72D297353CC}">
              <c16:uniqueId val="{00000001-C3A3-4A66-8572-DC3A3947BFA4}"/>
            </c:ext>
          </c:extLst>
        </c:ser>
        <c:dLbls>
          <c:showLegendKey val="0"/>
          <c:showVal val="1"/>
          <c:showCatName val="0"/>
          <c:showSerName val="0"/>
          <c:showPercent val="0"/>
          <c:showBubbleSize val="0"/>
        </c:dLbls>
        <c:gapWidth val="150"/>
        <c:shape val="box"/>
        <c:axId val="1588479039"/>
        <c:axId val="1587092591"/>
        <c:axId val="1905807887"/>
      </c:bar3DChart>
      <c:catAx>
        <c:axId val="1588479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7092591"/>
        <c:crosses val="autoZero"/>
        <c:auto val="1"/>
        <c:lblAlgn val="ctr"/>
        <c:lblOffset val="100"/>
        <c:noMultiLvlLbl val="0"/>
      </c:catAx>
      <c:valAx>
        <c:axId val="158709259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8479039"/>
        <c:crosses val="autoZero"/>
        <c:crossBetween val="between"/>
      </c:valAx>
      <c:serAx>
        <c:axId val="190580788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709259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a:solidFill>
        <a:schemeClr val="bg1">
          <a:lumMod val="9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[SonalPrajapati_25700214_Worksheet for excel cce2 sem2.xlsx]PivotTable!Agent Wise revenue</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Agent-wise Properties</a:t>
            </a:r>
            <a:r>
              <a:rPr lang="en-US" baseline="0"/>
              <a:t> Sold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PivotTable!$B$62:$B$63</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551-424A-BB4C-46292E9ACFE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551-424A-BB4C-46292E9ACFE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551-424A-BB4C-46292E9ACFE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551-424A-BB4C-46292E9ACFE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551-424A-BB4C-46292E9ACFE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551-424A-BB4C-46292E9ACFED}"/>
              </c:ext>
            </c:extLst>
          </c:dPt>
          <c:cat>
            <c:strRef>
              <c:f>PivotTable!$A$64:$A$69</c:f>
              <c:strCache>
                <c:ptCount val="6"/>
                <c:pt idx="0">
                  <c:v>Adams</c:v>
                </c:pt>
                <c:pt idx="1">
                  <c:v>Barnes</c:v>
                </c:pt>
                <c:pt idx="2">
                  <c:v>Bennet</c:v>
                </c:pt>
                <c:pt idx="3">
                  <c:v>Chung</c:v>
                </c:pt>
                <c:pt idx="4">
                  <c:v>Daily</c:v>
                </c:pt>
                <c:pt idx="5">
                  <c:v>Hamilton</c:v>
                </c:pt>
              </c:strCache>
            </c:strRef>
          </c:cat>
          <c:val>
            <c:numRef>
              <c:f>PivotTable!$B$64:$B$69</c:f>
              <c:numCache>
                <c:formatCode>_-[$$-409]* #,##0.00_ ;_-[$$-409]* \-#,##0.00\ ;_-[$$-409]* "-"??_ ;_-@_ </c:formatCode>
                <c:ptCount val="6"/>
                <c:pt idx="0">
                  <c:v>1344850</c:v>
                </c:pt>
                <c:pt idx="1">
                  <c:v>1288700</c:v>
                </c:pt>
                <c:pt idx="2">
                  <c:v>405000</c:v>
                </c:pt>
                <c:pt idx="3">
                  <c:v>1144810</c:v>
                </c:pt>
                <c:pt idx="4">
                  <c:v>335000</c:v>
                </c:pt>
                <c:pt idx="5">
                  <c:v>7918061</c:v>
                </c:pt>
              </c:numCache>
            </c:numRef>
          </c:val>
          <c:extLst>
            <c:ext xmlns:c16="http://schemas.microsoft.com/office/drawing/2014/chart" uri="{C3380CC4-5D6E-409C-BE32-E72D297353CC}">
              <c16:uniqueId val="{0000000C-7551-424A-BB4C-46292E9ACFE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a:solidFill>
        <a:schemeClr val="bg1">
          <a:lumMod val="9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[SonalPrajapati_25700214_Worksheet for excel cce2 sem2.xlsx]PivotTable!Area wise revenue</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Area-wise</a:t>
            </a:r>
            <a:r>
              <a:rPr lang="en-US" baseline="0"/>
              <a:t> Properties Sold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PivotTable!$B$54</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7C-4155-BD87-CA458562CF55}"/>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7C-4155-BD87-CA458562CF55}"/>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D7C-4155-BD87-CA458562CF55}"/>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PivotTable!$A$55:$A$58</c:f>
              <c:strCache>
                <c:ptCount val="3"/>
                <c:pt idx="0">
                  <c:v>Central</c:v>
                </c:pt>
                <c:pt idx="1">
                  <c:v>North County</c:v>
                </c:pt>
                <c:pt idx="2">
                  <c:v>South County</c:v>
                </c:pt>
              </c:strCache>
            </c:strRef>
          </c:cat>
          <c:val>
            <c:numRef>
              <c:f>PivotTable!$B$55:$B$58</c:f>
              <c:numCache>
                <c:formatCode>_-[$$-409]* #,##0.00_ ;_-[$$-409]* \-#,##0.00\ ;_-[$$-409]* "-"??_ ;_-@_ </c:formatCode>
                <c:ptCount val="3"/>
                <c:pt idx="0">
                  <c:v>3296760</c:v>
                </c:pt>
                <c:pt idx="1">
                  <c:v>4951900</c:v>
                </c:pt>
                <c:pt idx="2">
                  <c:v>4187761</c:v>
                </c:pt>
              </c:numCache>
            </c:numRef>
          </c:val>
          <c:extLst>
            <c:ext xmlns:c16="http://schemas.microsoft.com/office/drawing/2014/chart" uri="{C3380CC4-5D6E-409C-BE32-E72D297353CC}">
              <c16:uniqueId val="{00000006-8D7C-4155-BD87-CA458562CF5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lumMod val="9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[SonalPrajapati_25700214_Worksheet for excel cce2 sem2.xlsx]PivotTable!Year-wise revenue</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Year-wise Revenue</a:t>
            </a:r>
          </a:p>
        </c:rich>
      </c:tx>
      <c:layout>
        <c:manualLayout>
          <c:xMode val="edge"/>
          <c:yMode val="edge"/>
          <c:x val="0.46415830374144407"/>
          <c:y val="6.392167107324295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PivotTable!$B$73:$B$74</c:f>
              <c:strCache>
                <c:ptCount val="1"/>
                <c:pt idx="0">
                  <c:v>Yes</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257-4FB8-98C4-FD943E4A05F7}"/>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257-4FB8-98C4-FD943E4A05F7}"/>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257-4FB8-98C4-FD943E4A05F7}"/>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PivotTable!$A$75:$A$77</c:f>
              <c:strCache>
                <c:ptCount val="3"/>
                <c:pt idx="0">
                  <c:v>2022</c:v>
                </c:pt>
                <c:pt idx="1">
                  <c:v>2023</c:v>
                </c:pt>
                <c:pt idx="2">
                  <c:v>2024</c:v>
                </c:pt>
              </c:strCache>
            </c:strRef>
          </c:cat>
          <c:val>
            <c:numRef>
              <c:f>PivotTable!$B$75:$B$77</c:f>
              <c:numCache>
                <c:formatCode>_-[$$-409]* #,##0.00_ ;_-[$$-409]* \-#,##0.00\ ;_-[$$-409]* "-"??_ ;_-@_ </c:formatCode>
                <c:ptCount val="3"/>
                <c:pt idx="0">
                  <c:v>1940800</c:v>
                </c:pt>
                <c:pt idx="1">
                  <c:v>9226221</c:v>
                </c:pt>
                <c:pt idx="2">
                  <c:v>1269400</c:v>
                </c:pt>
              </c:numCache>
            </c:numRef>
          </c:val>
          <c:extLst>
            <c:ext xmlns:c16="http://schemas.microsoft.com/office/drawing/2014/chart" uri="{C3380CC4-5D6E-409C-BE32-E72D297353CC}">
              <c16:uniqueId val="{00000006-8257-4FB8-98C4-FD943E4A05F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a:solidFill>
        <a:schemeClr val="bg1">
          <a:lumMod val="9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hyperlink" Target="#Dashboard!A1"/><Relationship Id="rId4" Type="http://schemas.openxmlformats.org/officeDocument/2006/relationships/hyperlink" Target="#MasterData!A1"/></Relationships>
</file>

<file path=xl/drawings/_rels/drawing3.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hyperlink" Target="#Dashboard!A1"/><Relationship Id="rId4" Type="http://schemas.openxmlformats.org/officeDocument/2006/relationships/hyperlink" Target="#PivotTable!A1"/></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7.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PivotTable!A1"/><Relationship Id="rId5" Type="http://schemas.openxmlformats.org/officeDocument/2006/relationships/chart" Target="../charts/chart5.xml"/><Relationship Id="rId10" Type="http://schemas.openxmlformats.org/officeDocument/2006/relationships/image" Target="../media/image5.sv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hyperlink" Target="#MasterData!A1"/></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367941</xdr:colOff>
      <xdr:row>31</xdr:row>
      <xdr:rowOff>127091</xdr:rowOff>
    </xdr:to>
    <xdr:pic>
      <xdr:nvPicPr>
        <xdr:cNvPr id="2" name="Picture 1">
          <a:extLst>
            <a:ext uri="{FF2B5EF4-FFF2-40B4-BE49-F238E27FC236}">
              <a16:creationId xmlns:a16="http://schemas.microsoft.com/office/drawing/2014/main" id="{D17D544F-D35E-4DE7-BFEC-BFB06C688C22}"/>
            </a:ext>
          </a:extLst>
        </xdr:cNvPr>
        <xdr:cNvPicPr>
          <a:picLocks noChangeAspect="1"/>
        </xdr:cNvPicPr>
      </xdr:nvPicPr>
      <xdr:blipFill>
        <a:blip xmlns:r="http://schemas.openxmlformats.org/officeDocument/2006/relationships" r:embed="rId1"/>
        <a:stretch>
          <a:fillRect/>
        </a:stretch>
      </xdr:blipFill>
      <xdr:spPr>
        <a:xfrm>
          <a:off x="0" y="0"/>
          <a:ext cx="6311541" cy="5638891"/>
        </a:xfrm>
        <a:prstGeom prst="rect">
          <a:avLst/>
        </a:prstGeom>
        <a:ln w="28575">
          <a:solidFill>
            <a:schemeClr val="bg1">
              <a:lumMod val="95000"/>
            </a:schemeClr>
          </a:solidFill>
        </a:ln>
        <a:effectLst>
          <a:innerShdw blurRad="63500" dist="50800" dir="13500000">
            <a:prstClr val="black">
              <a:alpha val="50000"/>
            </a:prstClr>
          </a:innerShdw>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224118</xdr:colOff>
      <xdr:row>0</xdr:row>
      <xdr:rowOff>71718</xdr:rowOff>
    </xdr:from>
    <xdr:to>
      <xdr:col>5</xdr:col>
      <xdr:colOff>1138518</xdr:colOff>
      <xdr:row>5</xdr:row>
      <xdr:rowOff>89647</xdr:rowOff>
    </xdr:to>
    <xdr:pic>
      <xdr:nvPicPr>
        <xdr:cNvPr id="3" name="Graphic 2" descr="Circle with left arrow outline">
          <a:hlinkClick xmlns:r="http://schemas.openxmlformats.org/officeDocument/2006/relationships" r:id="rId1"/>
          <a:extLst>
            <a:ext uri="{FF2B5EF4-FFF2-40B4-BE49-F238E27FC236}">
              <a16:creationId xmlns:a16="http://schemas.microsoft.com/office/drawing/2014/main" id="{6AA687A1-F3C9-F74E-2587-1202EDAD4BD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00165" y="71718"/>
          <a:ext cx="914400" cy="914400"/>
        </a:xfrm>
        <a:prstGeom prst="rect">
          <a:avLst/>
        </a:prstGeom>
      </xdr:spPr>
    </xdr:pic>
    <xdr:clientData/>
  </xdr:twoCellAnchor>
  <xdr:twoCellAnchor>
    <xdr:from>
      <xdr:col>5</xdr:col>
      <xdr:colOff>1156447</xdr:colOff>
      <xdr:row>1</xdr:row>
      <xdr:rowOff>49307</xdr:rowOff>
    </xdr:from>
    <xdr:to>
      <xdr:col>7</xdr:col>
      <xdr:colOff>896471</xdr:colOff>
      <xdr:row>5</xdr:row>
      <xdr:rowOff>2</xdr:rowOff>
    </xdr:to>
    <xdr:sp macro="" textlink="">
      <xdr:nvSpPr>
        <xdr:cNvPr id="4" name="TextBox 3">
          <a:extLst>
            <a:ext uri="{FF2B5EF4-FFF2-40B4-BE49-F238E27FC236}">
              <a16:creationId xmlns:a16="http://schemas.microsoft.com/office/drawing/2014/main" id="{5D22DCBA-543B-11CA-04E8-AC3B3063B6EC}"/>
            </a:ext>
          </a:extLst>
        </xdr:cNvPr>
        <xdr:cNvSpPr txBox="1"/>
      </xdr:nvSpPr>
      <xdr:spPr>
        <a:xfrm>
          <a:off x="6732494" y="228601"/>
          <a:ext cx="2196353" cy="667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2800">
              <a:latin typeface="ADLaM Display" panose="02010000000000000000" pitchFamily="2" charset="0"/>
              <a:ea typeface="ADLaM Display" panose="02010000000000000000" pitchFamily="2" charset="0"/>
              <a:cs typeface="ADLaM Display" panose="02010000000000000000" pitchFamily="2" charset="0"/>
            </a:rPr>
            <a:t>Dashboard</a:t>
          </a:r>
        </a:p>
      </xdr:txBody>
    </xdr:sp>
    <xdr:clientData/>
  </xdr:twoCellAnchor>
  <xdr:twoCellAnchor editAs="oneCell">
    <xdr:from>
      <xdr:col>5</xdr:col>
      <xdr:colOff>197223</xdr:colOff>
      <xdr:row>5</xdr:row>
      <xdr:rowOff>17930</xdr:rowOff>
    </xdr:from>
    <xdr:to>
      <xdr:col>5</xdr:col>
      <xdr:colOff>1111623</xdr:colOff>
      <xdr:row>10</xdr:row>
      <xdr:rowOff>35860</xdr:rowOff>
    </xdr:to>
    <xdr:pic>
      <xdr:nvPicPr>
        <xdr:cNvPr id="5" name="Graphic 4" descr="Circle with left arrow outline">
          <a:hlinkClick xmlns:r="http://schemas.openxmlformats.org/officeDocument/2006/relationships" r:id="rId4"/>
          <a:extLst>
            <a:ext uri="{FF2B5EF4-FFF2-40B4-BE49-F238E27FC236}">
              <a16:creationId xmlns:a16="http://schemas.microsoft.com/office/drawing/2014/main" id="{2C1A1C4D-3A54-45FF-8849-A808C0B533A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73270" y="914401"/>
          <a:ext cx="914400" cy="914400"/>
        </a:xfrm>
        <a:prstGeom prst="rect">
          <a:avLst/>
        </a:prstGeom>
      </xdr:spPr>
    </xdr:pic>
    <xdr:clientData/>
  </xdr:twoCellAnchor>
  <xdr:twoCellAnchor>
    <xdr:from>
      <xdr:col>5</xdr:col>
      <xdr:colOff>1129552</xdr:colOff>
      <xdr:row>5</xdr:row>
      <xdr:rowOff>174813</xdr:rowOff>
    </xdr:from>
    <xdr:to>
      <xdr:col>7</xdr:col>
      <xdr:colOff>869576</xdr:colOff>
      <xdr:row>9</xdr:row>
      <xdr:rowOff>125509</xdr:rowOff>
    </xdr:to>
    <xdr:sp macro="" textlink="">
      <xdr:nvSpPr>
        <xdr:cNvPr id="6" name="TextBox 5">
          <a:extLst>
            <a:ext uri="{FF2B5EF4-FFF2-40B4-BE49-F238E27FC236}">
              <a16:creationId xmlns:a16="http://schemas.microsoft.com/office/drawing/2014/main" id="{D0834C18-EDA8-4535-BEC0-A5C5302F8013}"/>
            </a:ext>
          </a:extLst>
        </xdr:cNvPr>
        <xdr:cNvSpPr txBox="1"/>
      </xdr:nvSpPr>
      <xdr:spPr>
        <a:xfrm>
          <a:off x="6705599" y="1071284"/>
          <a:ext cx="2196353" cy="667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2800">
              <a:latin typeface="ADLaM Display" panose="02010000000000000000" pitchFamily="2" charset="0"/>
              <a:ea typeface="ADLaM Display" panose="02010000000000000000" pitchFamily="2" charset="0"/>
              <a:cs typeface="ADLaM Display" panose="02010000000000000000" pitchFamily="2" charset="0"/>
            </a:rPr>
            <a:t>MasterData</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93156</xdr:colOff>
      <xdr:row>0</xdr:row>
      <xdr:rowOff>0</xdr:rowOff>
    </xdr:from>
    <xdr:to>
      <xdr:col>14</xdr:col>
      <xdr:colOff>336664</xdr:colOff>
      <xdr:row>4</xdr:row>
      <xdr:rowOff>119270</xdr:rowOff>
    </xdr:to>
    <xdr:pic>
      <xdr:nvPicPr>
        <xdr:cNvPr id="2" name="Graphic 1" descr="Circle with left arrow outline">
          <a:hlinkClick xmlns:r="http://schemas.openxmlformats.org/officeDocument/2006/relationships" r:id="rId1"/>
          <a:extLst>
            <a:ext uri="{FF2B5EF4-FFF2-40B4-BE49-F238E27FC236}">
              <a16:creationId xmlns:a16="http://schemas.microsoft.com/office/drawing/2014/main" id="{E7F547EA-083B-467D-8156-C7478DB3A33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508786" y="0"/>
          <a:ext cx="914400" cy="914400"/>
        </a:xfrm>
        <a:prstGeom prst="rect">
          <a:avLst/>
        </a:prstGeom>
      </xdr:spPr>
    </xdr:pic>
    <xdr:clientData/>
  </xdr:twoCellAnchor>
  <xdr:twoCellAnchor>
    <xdr:from>
      <xdr:col>14</xdr:col>
      <xdr:colOff>354593</xdr:colOff>
      <xdr:row>0</xdr:row>
      <xdr:rowOff>156883</xdr:rowOff>
    </xdr:from>
    <xdr:to>
      <xdr:col>17</xdr:col>
      <xdr:colOff>538272</xdr:colOff>
      <xdr:row>4</xdr:row>
      <xdr:rowOff>29625</xdr:rowOff>
    </xdr:to>
    <xdr:sp macro="" textlink="">
      <xdr:nvSpPr>
        <xdr:cNvPr id="3" name="TextBox 2">
          <a:extLst>
            <a:ext uri="{FF2B5EF4-FFF2-40B4-BE49-F238E27FC236}">
              <a16:creationId xmlns:a16="http://schemas.microsoft.com/office/drawing/2014/main" id="{FAAE26C8-4885-442E-BFF6-9C34BD075DF7}"/>
            </a:ext>
          </a:extLst>
        </xdr:cNvPr>
        <xdr:cNvSpPr txBox="1"/>
      </xdr:nvSpPr>
      <xdr:spPr>
        <a:xfrm>
          <a:off x="13441115" y="156883"/>
          <a:ext cx="2196353" cy="667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2400">
              <a:latin typeface="ADLaM Display" panose="02010000000000000000" pitchFamily="2" charset="0"/>
              <a:ea typeface="ADLaM Display" panose="02010000000000000000" pitchFamily="2" charset="0"/>
              <a:cs typeface="ADLaM Display" panose="02010000000000000000" pitchFamily="2" charset="0"/>
            </a:rPr>
            <a:t>Dashboard</a:t>
          </a:r>
        </a:p>
      </xdr:txBody>
    </xdr:sp>
    <xdr:clientData/>
  </xdr:twoCellAnchor>
  <xdr:twoCellAnchor editAs="oneCell">
    <xdr:from>
      <xdr:col>13</xdr:col>
      <xdr:colOff>66261</xdr:colOff>
      <xdr:row>4</xdr:row>
      <xdr:rowOff>47553</xdr:rowOff>
    </xdr:from>
    <xdr:to>
      <xdr:col>14</xdr:col>
      <xdr:colOff>309769</xdr:colOff>
      <xdr:row>8</xdr:row>
      <xdr:rowOff>166822</xdr:rowOff>
    </xdr:to>
    <xdr:pic>
      <xdr:nvPicPr>
        <xdr:cNvPr id="4" name="Graphic 3" descr="Circle with left arrow outline">
          <a:hlinkClick xmlns:r="http://schemas.openxmlformats.org/officeDocument/2006/relationships" r:id="rId4"/>
          <a:extLst>
            <a:ext uri="{FF2B5EF4-FFF2-40B4-BE49-F238E27FC236}">
              <a16:creationId xmlns:a16="http://schemas.microsoft.com/office/drawing/2014/main" id="{E65E822C-364C-4E77-8B08-577A9D3F276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481891" y="842683"/>
          <a:ext cx="914400" cy="914400"/>
        </a:xfrm>
        <a:prstGeom prst="rect">
          <a:avLst/>
        </a:prstGeom>
      </xdr:spPr>
    </xdr:pic>
    <xdr:clientData/>
  </xdr:twoCellAnchor>
  <xdr:twoCellAnchor>
    <xdr:from>
      <xdr:col>14</xdr:col>
      <xdr:colOff>327698</xdr:colOff>
      <xdr:row>5</xdr:row>
      <xdr:rowOff>5653</xdr:rowOff>
    </xdr:from>
    <xdr:to>
      <xdr:col>17</xdr:col>
      <xdr:colOff>511377</xdr:colOff>
      <xdr:row>8</xdr:row>
      <xdr:rowOff>77177</xdr:rowOff>
    </xdr:to>
    <xdr:sp macro="" textlink="">
      <xdr:nvSpPr>
        <xdr:cNvPr id="5" name="TextBox 4">
          <a:extLst>
            <a:ext uri="{FF2B5EF4-FFF2-40B4-BE49-F238E27FC236}">
              <a16:creationId xmlns:a16="http://schemas.microsoft.com/office/drawing/2014/main" id="{75729EEF-C1AA-4B81-9AAF-A221CEEB59E9}"/>
            </a:ext>
          </a:extLst>
        </xdr:cNvPr>
        <xdr:cNvSpPr txBox="1"/>
      </xdr:nvSpPr>
      <xdr:spPr>
        <a:xfrm>
          <a:off x="13414220" y="999566"/>
          <a:ext cx="2196353" cy="667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2400">
              <a:latin typeface="ADLaM Display" panose="02010000000000000000" pitchFamily="2" charset="0"/>
              <a:ea typeface="ADLaM Display" panose="02010000000000000000" pitchFamily="2" charset="0"/>
              <a:cs typeface="ADLaM Display" panose="02010000000000000000" pitchFamily="2" charset="0"/>
            </a:rPr>
            <a:t>PivotTable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10886</xdr:rowOff>
    </xdr:from>
    <xdr:to>
      <xdr:col>35</xdr:col>
      <xdr:colOff>0</xdr:colOff>
      <xdr:row>47</xdr:row>
      <xdr:rowOff>0</xdr:rowOff>
    </xdr:to>
    <xdr:sp macro="" textlink="">
      <xdr:nvSpPr>
        <xdr:cNvPr id="9" name="Rectangle 8">
          <a:extLst>
            <a:ext uri="{FF2B5EF4-FFF2-40B4-BE49-F238E27FC236}">
              <a16:creationId xmlns:a16="http://schemas.microsoft.com/office/drawing/2014/main" id="{34E2D312-3ECB-AF9D-E849-32D452967296}"/>
            </a:ext>
          </a:extLst>
        </xdr:cNvPr>
        <xdr:cNvSpPr/>
      </xdr:nvSpPr>
      <xdr:spPr>
        <a:xfrm>
          <a:off x="0" y="10886"/>
          <a:ext cx="23558500" cy="8345714"/>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GB" sz="1100">
            <a:ln>
              <a:solidFill>
                <a:schemeClr val="tx1"/>
              </a:solidFill>
            </a:ln>
          </a:endParaRPr>
        </a:p>
      </xdr:txBody>
    </xdr:sp>
    <xdr:clientData/>
  </xdr:twoCellAnchor>
  <xdr:twoCellAnchor editAs="oneCell">
    <xdr:from>
      <xdr:col>0</xdr:col>
      <xdr:colOff>193413</xdr:colOff>
      <xdr:row>39</xdr:row>
      <xdr:rowOff>120911</xdr:rowOff>
    </xdr:from>
    <xdr:to>
      <xdr:col>4</xdr:col>
      <xdr:colOff>190500</xdr:colOff>
      <xdr:row>45</xdr:row>
      <xdr:rowOff>147092</xdr:rowOff>
    </xdr:to>
    <mc:AlternateContent xmlns:mc="http://schemas.openxmlformats.org/markup-compatibility/2006" xmlns:a14="http://schemas.microsoft.com/office/drawing/2010/main">
      <mc:Choice Requires="a14">
        <xdr:graphicFrame macro="">
          <xdr:nvGraphicFramePr>
            <xdr:cNvPr id="10" name="Area">
              <a:extLst>
                <a:ext uri="{FF2B5EF4-FFF2-40B4-BE49-F238E27FC236}">
                  <a16:creationId xmlns:a16="http://schemas.microsoft.com/office/drawing/2014/main" id="{FF2B7ADB-C052-4813-B588-34C5647EC631}"/>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193413" y="7055111"/>
              <a:ext cx="2689487" cy="109298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193411</xdr:colOff>
      <xdr:row>35</xdr:row>
      <xdr:rowOff>20092</xdr:rowOff>
    </xdr:from>
    <xdr:to>
      <xdr:col>4</xdr:col>
      <xdr:colOff>190500</xdr:colOff>
      <xdr:row>38</xdr:row>
      <xdr:rowOff>171711</xdr:rowOff>
    </xdr:to>
    <mc:AlternateContent xmlns:mc="http://schemas.openxmlformats.org/markup-compatibility/2006" xmlns:a14="http://schemas.microsoft.com/office/drawing/2010/main">
      <mc:Choice Requires="a14">
        <xdr:graphicFrame macro="">
          <xdr:nvGraphicFramePr>
            <xdr:cNvPr id="11" name="Type">
              <a:extLst>
                <a:ext uri="{FF2B5EF4-FFF2-40B4-BE49-F238E27FC236}">
                  <a16:creationId xmlns:a16="http://schemas.microsoft.com/office/drawing/2014/main" id="{77DB96F3-A47B-426C-9A6B-B61E3043878F}"/>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93411" y="6243092"/>
              <a:ext cx="2689489" cy="6850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193411</xdr:colOff>
      <xdr:row>27</xdr:row>
      <xdr:rowOff>127000</xdr:rowOff>
    </xdr:from>
    <xdr:to>
      <xdr:col>4</xdr:col>
      <xdr:colOff>190500</xdr:colOff>
      <xdr:row>34</xdr:row>
      <xdr:rowOff>96292</xdr:rowOff>
    </xdr:to>
    <mc:AlternateContent xmlns:mc="http://schemas.openxmlformats.org/markup-compatibility/2006" xmlns:a14="http://schemas.microsoft.com/office/drawing/2010/main">
      <mc:Choice Requires="a14">
        <xdr:graphicFrame macro="">
          <xdr:nvGraphicFramePr>
            <xdr:cNvPr id="12" name="Agent">
              <a:extLst>
                <a:ext uri="{FF2B5EF4-FFF2-40B4-BE49-F238E27FC236}">
                  <a16:creationId xmlns:a16="http://schemas.microsoft.com/office/drawing/2014/main" id="{26458E3C-D406-4201-AA3D-4104998D24F7}"/>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193411" y="4927600"/>
              <a:ext cx="2689489" cy="12138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517073</xdr:colOff>
      <xdr:row>2</xdr:row>
      <xdr:rowOff>23586</xdr:rowOff>
    </xdr:from>
    <xdr:to>
      <xdr:col>3</xdr:col>
      <xdr:colOff>139700</xdr:colOff>
      <xdr:row>10</xdr:row>
      <xdr:rowOff>25400</xdr:rowOff>
    </xdr:to>
    <xdr:sp macro="" textlink="">
      <xdr:nvSpPr>
        <xdr:cNvPr id="13" name="TextBox 12">
          <a:extLst>
            <a:ext uri="{FF2B5EF4-FFF2-40B4-BE49-F238E27FC236}">
              <a16:creationId xmlns:a16="http://schemas.microsoft.com/office/drawing/2014/main" id="{E3A90278-F132-F13F-366D-B03712C5D8B1}"/>
            </a:ext>
          </a:extLst>
        </xdr:cNvPr>
        <xdr:cNvSpPr txBox="1"/>
      </xdr:nvSpPr>
      <xdr:spPr>
        <a:xfrm>
          <a:off x="517073" y="379186"/>
          <a:ext cx="1641927" cy="1424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rstTxWarp prst="textCascadeUp">
            <a:avLst/>
          </a:prstTxWarp>
        </a:bodyPr>
        <a:lstStyle/>
        <a:p>
          <a:pPr algn="l"/>
          <a:r>
            <a:rPr lang="en-GB" sz="1600" b="1" cap="none" spc="0">
              <a:ln w="22225">
                <a:solidFill>
                  <a:schemeClr val="accent2">
                    <a:lumMod val="75000"/>
                  </a:schemeClr>
                </a:solidFill>
                <a:prstDash val="solid"/>
              </a:ln>
              <a:solidFill>
                <a:schemeClr val="accent2">
                  <a:lumMod val="60000"/>
                  <a:lumOff val="40000"/>
                </a:schemeClr>
              </a:solidFill>
              <a:effectLst/>
              <a:latin typeface="Algerian" panose="04020705040A02060702" pitchFamily="82" charset="0"/>
              <a:ea typeface="ADLaM Display" panose="02010000000000000000" pitchFamily="2" charset="0"/>
              <a:cs typeface="ADLaM Display" panose="02010000000000000000" pitchFamily="2" charset="0"/>
            </a:rPr>
            <a:t>ABC</a:t>
          </a:r>
          <a:r>
            <a:rPr lang="en-GB" sz="700" b="1" cap="none" spc="0">
              <a:ln w="22225">
                <a:solidFill>
                  <a:schemeClr val="accent2">
                    <a:lumMod val="75000"/>
                  </a:schemeClr>
                </a:solidFill>
                <a:prstDash val="solid"/>
              </a:ln>
              <a:solidFill>
                <a:schemeClr val="accent2">
                  <a:lumMod val="40000"/>
                  <a:lumOff val="60000"/>
                </a:schemeClr>
              </a:solidFill>
              <a:effectLst/>
              <a:latin typeface="Algerian" panose="04020705040A02060702" pitchFamily="82" charset="0"/>
              <a:ea typeface="ADLaM Display" panose="02010000000000000000" pitchFamily="2" charset="0"/>
              <a:cs typeface="ADLaM Display" panose="02010000000000000000" pitchFamily="2" charset="0"/>
            </a:rPr>
            <a:t> </a:t>
          </a:r>
        </a:p>
        <a:p>
          <a:pPr algn="l"/>
          <a:r>
            <a:rPr lang="en-GB" sz="300" b="0" cap="none" spc="0">
              <a:ln w="0">
                <a:solidFill>
                  <a:schemeClr val="accent2">
                    <a:lumMod val="75000"/>
                  </a:schemeClr>
                </a:solidFill>
              </a:ln>
              <a:gradFill>
                <a:gsLst>
                  <a:gs pos="0">
                    <a:schemeClr val="accent5">
                      <a:lumMod val="50000"/>
                    </a:schemeClr>
                  </a:gs>
                  <a:gs pos="50000">
                    <a:schemeClr val="accent5"/>
                  </a:gs>
                  <a:gs pos="100000">
                    <a:schemeClr val="accent5">
                      <a:lumMod val="60000"/>
                      <a:lumOff val="40000"/>
                    </a:schemeClr>
                  </a:gs>
                </a:gsLst>
                <a:lin ang="5400000"/>
              </a:gradFill>
              <a:effectLst/>
              <a:latin typeface="Castellar" panose="020A0402060406010301" pitchFamily="18" charset="0"/>
              <a:ea typeface="ADLaM Display" panose="02010000000000000000" pitchFamily="2" charset="0"/>
              <a:cs typeface="Angsana New" panose="02020603050405020304" pitchFamily="18" charset="-34"/>
            </a:rPr>
            <a:t>Real Estate Company</a:t>
          </a:r>
          <a:endParaRPr lang="en-GB" sz="4000" b="0" cap="none" spc="0">
            <a:ln w="0">
              <a:solidFill>
                <a:schemeClr val="accent2">
                  <a:lumMod val="75000"/>
                </a:schemeClr>
              </a:solidFill>
            </a:ln>
            <a:gradFill>
              <a:gsLst>
                <a:gs pos="0">
                  <a:schemeClr val="accent5">
                    <a:lumMod val="50000"/>
                  </a:schemeClr>
                </a:gs>
                <a:gs pos="50000">
                  <a:schemeClr val="accent5"/>
                </a:gs>
                <a:gs pos="100000">
                  <a:schemeClr val="accent5">
                    <a:lumMod val="60000"/>
                    <a:lumOff val="40000"/>
                  </a:schemeClr>
                </a:gs>
              </a:gsLst>
              <a:lin ang="5400000"/>
            </a:gradFill>
            <a:effectLst/>
            <a:latin typeface="Castellar" panose="020A0402060406010301" pitchFamily="18" charset="0"/>
            <a:ea typeface="ADLaM Display" panose="02010000000000000000" pitchFamily="2" charset="0"/>
            <a:cs typeface="Angsana New" panose="02020603050405020304" pitchFamily="18" charset="-34"/>
          </a:endParaRPr>
        </a:p>
      </xdr:txBody>
    </xdr:sp>
    <xdr:clientData/>
  </xdr:twoCellAnchor>
  <xdr:twoCellAnchor>
    <xdr:from>
      <xdr:col>4</xdr:col>
      <xdr:colOff>406400</xdr:colOff>
      <xdr:row>11</xdr:row>
      <xdr:rowOff>79830</xdr:rowOff>
    </xdr:from>
    <xdr:to>
      <xdr:col>12</xdr:col>
      <xdr:colOff>609600</xdr:colOff>
      <xdr:row>29</xdr:row>
      <xdr:rowOff>1</xdr:rowOff>
    </xdr:to>
    <xdr:graphicFrame macro="">
      <xdr:nvGraphicFramePr>
        <xdr:cNvPr id="14" name="Chart 13">
          <a:extLst>
            <a:ext uri="{FF2B5EF4-FFF2-40B4-BE49-F238E27FC236}">
              <a16:creationId xmlns:a16="http://schemas.microsoft.com/office/drawing/2014/main" id="{A8580D47-8E43-4F36-9CF9-CA92DD8C8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190500</xdr:colOff>
      <xdr:row>11</xdr:row>
      <xdr:rowOff>79830</xdr:rowOff>
    </xdr:from>
    <xdr:to>
      <xdr:col>27</xdr:col>
      <xdr:colOff>546100</xdr:colOff>
      <xdr:row>29</xdr:row>
      <xdr:rowOff>1</xdr:rowOff>
    </xdr:to>
    <xdr:graphicFrame macro="">
      <xdr:nvGraphicFramePr>
        <xdr:cNvPr id="15" name="Chart 14">
          <a:extLst>
            <a:ext uri="{FF2B5EF4-FFF2-40B4-BE49-F238E27FC236}">
              <a16:creationId xmlns:a16="http://schemas.microsoft.com/office/drawing/2014/main" id="{64EC45BA-83B9-473E-A9FC-D699253AF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395514</xdr:colOff>
      <xdr:row>30</xdr:row>
      <xdr:rowOff>3631</xdr:rowOff>
    </xdr:from>
    <xdr:to>
      <xdr:col>18</xdr:col>
      <xdr:colOff>406400</xdr:colOff>
      <xdr:row>45</xdr:row>
      <xdr:rowOff>134260</xdr:rowOff>
    </xdr:to>
    <xdr:graphicFrame macro="">
      <xdr:nvGraphicFramePr>
        <xdr:cNvPr id="16" name="Chart 15">
          <a:extLst>
            <a:ext uri="{FF2B5EF4-FFF2-40B4-BE49-F238E27FC236}">
              <a16:creationId xmlns:a16="http://schemas.microsoft.com/office/drawing/2014/main" id="{EB5A8742-FE73-4EFD-AFF2-05521480E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495300</xdr:colOff>
      <xdr:row>30</xdr:row>
      <xdr:rowOff>2</xdr:rowOff>
    </xdr:from>
    <xdr:to>
      <xdr:col>34</xdr:col>
      <xdr:colOff>547913</xdr:colOff>
      <xdr:row>45</xdr:row>
      <xdr:rowOff>134259</xdr:rowOff>
    </xdr:to>
    <xdr:graphicFrame macro="">
      <xdr:nvGraphicFramePr>
        <xdr:cNvPr id="17" name="Chart 16">
          <a:extLst>
            <a:ext uri="{FF2B5EF4-FFF2-40B4-BE49-F238E27FC236}">
              <a16:creationId xmlns:a16="http://schemas.microsoft.com/office/drawing/2014/main" id="{23712316-39A5-403B-A8EA-67A324ABA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533400</xdr:colOff>
      <xdr:row>30</xdr:row>
      <xdr:rowOff>3631</xdr:rowOff>
    </xdr:from>
    <xdr:to>
      <xdr:col>25</xdr:col>
      <xdr:colOff>342899</xdr:colOff>
      <xdr:row>45</xdr:row>
      <xdr:rowOff>134260</xdr:rowOff>
    </xdr:to>
    <xdr:graphicFrame macro="">
      <xdr:nvGraphicFramePr>
        <xdr:cNvPr id="18" name="Chart 17">
          <a:extLst>
            <a:ext uri="{FF2B5EF4-FFF2-40B4-BE49-F238E27FC236}">
              <a16:creationId xmlns:a16="http://schemas.microsoft.com/office/drawing/2014/main" id="{298F4712-F2C4-4D58-ABD3-C4EDD0A2A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406400</xdr:colOff>
      <xdr:row>30</xdr:row>
      <xdr:rowOff>21774</xdr:rowOff>
    </xdr:from>
    <xdr:to>
      <xdr:col>10</xdr:col>
      <xdr:colOff>266700</xdr:colOff>
      <xdr:row>45</xdr:row>
      <xdr:rowOff>156031</xdr:rowOff>
    </xdr:to>
    <xdr:graphicFrame macro="">
      <xdr:nvGraphicFramePr>
        <xdr:cNvPr id="19" name="Chart 18">
          <a:extLst>
            <a:ext uri="{FF2B5EF4-FFF2-40B4-BE49-F238E27FC236}">
              <a16:creationId xmlns:a16="http://schemas.microsoft.com/office/drawing/2014/main" id="{69A24669-9DCC-4074-991C-73AD2A3DC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38100</xdr:colOff>
      <xdr:row>11</xdr:row>
      <xdr:rowOff>79829</xdr:rowOff>
    </xdr:from>
    <xdr:to>
      <xdr:col>34</xdr:col>
      <xdr:colOff>573313</xdr:colOff>
      <xdr:row>29</xdr:row>
      <xdr:rowOff>0</xdr:rowOff>
    </xdr:to>
    <xdr:graphicFrame macro="">
      <xdr:nvGraphicFramePr>
        <xdr:cNvPr id="20" name="Chart 19">
          <a:extLst>
            <a:ext uri="{FF2B5EF4-FFF2-40B4-BE49-F238E27FC236}">
              <a16:creationId xmlns:a16="http://schemas.microsoft.com/office/drawing/2014/main" id="{43BCA44C-0FF7-41D6-BA94-C2E539E44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139700</xdr:colOff>
      <xdr:row>11</xdr:row>
      <xdr:rowOff>79830</xdr:rowOff>
    </xdr:from>
    <xdr:to>
      <xdr:col>18</xdr:col>
      <xdr:colOff>660400</xdr:colOff>
      <xdr:row>29</xdr:row>
      <xdr:rowOff>14517</xdr:rowOff>
    </xdr:to>
    <xdr:graphicFrame macro="">
      <xdr:nvGraphicFramePr>
        <xdr:cNvPr id="21" name="Chart 20">
          <a:extLst>
            <a:ext uri="{FF2B5EF4-FFF2-40B4-BE49-F238E27FC236}">
              <a16:creationId xmlns:a16="http://schemas.microsoft.com/office/drawing/2014/main" id="{3B1B6BE2-F274-4996-BD90-6736FE51E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520700</xdr:colOff>
      <xdr:row>2</xdr:row>
      <xdr:rowOff>0</xdr:rowOff>
    </xdr:from>
    <xdr:to>
      <xdr:col>34</xdr:col>
      <xdr:colOff>459013</xdr:colOff>
      <xdr:row>9</xdr:row>
      <xdr:rowOff>0</xdr:rowOff>
    </xdr:to>
    <xdr:sp macro="" textlink="">
      <xdr:nvSpPr>
        <xdr:cNvPr id="22" name="Rectangle: Rounded Corners 21">
          <a:extLst>
            <a:ext uri="{FF2B5EF4-FFF2-40B4-BE49-F238E27FC236}">
              <a16:creationId xmlns:a16="http://schemas.microsoft.com/office/drawing/2014/main" id="{7F0954B8-2B15-D903-30C5-52159256C7BE}"/>
            </a:ext>
          </a:extLst>
        </xdr:cNvPr>
        <xdr:cNvSpPr/>
      </xdr:nvSpPr>
      <xdr:spPr>
        <a:xfrm>
          <a:off x="2540000" y="355600"/>
          <a:ext cx="20804413" cy="1244600"/>
        </a:xfrm>
        <a:prstGeom prst="roundRect">
          <a:avLst/>
        </a:prstGeom>
        <a:solidFill>
          <a:srgbClr val="FFC0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4</xdr:col>
      <xdr:colOff>317500</xdr:colOff>
      <xdr:row>2</xdr:row>
      <xdr:rowOff>127000</xdr:rowOff>
    </xdr:from>
    <xdr:to>
      <xdr:col>5</xdr:col>
      <xdr:colOff>558800</xdr:colOff>
      <xdr:row>7</xdr:row>
      <xdr:rowOff>152400</xdr:rowOff>
    </xdr:to>
    <xdr:pic>
      <xdr:nvPicPr>
        <xdr:cNvPr id="24" name="Graphic 23" descr="Asian Temple outline">
          <a:extLst>
            <a:ext uri="{FF2B5EF4-FFF2-40B4-BE49-F238E27FC236}">
              <a16:creationId xmlns:a16="http://schemas.microsoft.com/office/drawing/2014/main" id="{1D1DE93C-DAD8-507A-4ED0-476A5D52C61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009900" y="482600"/>
          <a:ext cx="914400" cy="914400"/>
        </a:xfrm>
        <a:prstGeom prst="rect">
          <a:avLst/>
        </a:prstGeom>
      </xdr:spPr>
    </xdr:pic>
    <xdr:clientData/>
  </xdr:twoCellAnchor>
  <xdr:twoCellAnchor>
    <xdr:from>
      <xdr:col>6</xdr:col>
      <xdr:colOff>139701</xdr:colOff>
      <xdr:row>4</xdr:row>
      <xdr:rowOff>0</xdr:rowOff>
    </xdr:from>
    <xdr:to>
      <xdr:col>34</xdr:col>
      <xdr:colOff>1</xdr:colOff>
      <xdr:row>7</xdr:row>
      <xdr:rowOff>0</xdr:rowOff>
    </xdr:to>
    <xdr:sp macro="" textlink="">
      <xdr:nvSpPr>
        <xdr:cNvPr id="25" name="TextBox 24">
          <a:extLst>
            <a:ext uri="{FF2B5EF4-FFF2-40B4-BE49-F238E27FC236}">
              <a16:creationId xmlns:a16="http://schemas.microsoft.com/office/drawing/2014/main" id="{8BABEB13-C0BD-82C3-B309-457A001A243D}"/>
            </a:ext>
          </a:extLst>
        </xdr:cNvPr>
        <xdr:cNvSpPr txBox="1"/>
      </xdr:nvSpPr>
      <xdr:spPr>
        <a:xfrm>
          <a:off x="4178301" y="711200"/>
          <a:ext cx="187071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a:solidFill>
                <a:schemeClr val="tx1"/>
              </a:solidFill>
              <a:latin typeface="Felix Titling" panose="04060505060202020A04" pitchFamily="82" charset="0"/>
            </a:rPr>
            <a:t>Properties Listed</a:t>
          </a:r>
          <a:r>
            <a:rPr lang="en-GB" sz="2400" baseline="0">
              <a:solidFill>
                <a:schemeClr val="tx1"/>
              </a:solidFill>
              <a:latin typeface="Felix Titling" panose="04060505060202020A04" pitchFamily="82" charset="0"/>
            </a:rPr>
            <a:t> </a:t>
          </a:r>
          <a:r>
            <a:rPr lang="en-GB" sz="2400">
              <a:solidFill>
                <a:schemeClr val="tx1"/>
              </a:solidFill>
              <a:latin typeface="Amasis MT Pro Medium" panose="02040604050005020304" pitchFamily="18" charset="0"/>
            </a:rPr>
            <a:t>- </a:t>
          </a:r>
          <a:r>
            <a:rPr lang="en-GB" sz="4000" b="1">
              <a:solidFill>
                <a:schemeClr val="tx1"/>
              </a:solidFill>
              <a:latin typeface="Algerian" panose="04020705040A02060702" pitchFamily="82" charset="0"/>
            </a:rPr>
            <a:t>125			</a:t>
          </a:r>
          <a:r>
            <a:rPr lang="en-GB" sz="2400">
              <a:solidFill>
                <a:schemeClr val="tx1"/>
              </a:solidFill>
              <a:latin typeface="Felix Titling" panose="04060505060202020A04" pitchFamily="82" charset="0"/>
            </a:rPr>
            <a:t>Properties Sold </a:t>
          </a:r>
          <a:r>
            <a:rPr lang="en-GB" sz="2400">
              <a:solidFill>
                <a:schemeClr val="tx1"/>
              </a:solidFill>
              <a:latin typeface="Amasis MT Pro Medium" panose="02040604050005020304" pitchFamily="18" charset="0"/>
            </a:rPr>
            <a:t>- </a:t>
          </a:r>
          <a:r>
            <a:rPr lang="en-GB" sz="4000" b="1">
              <a:solidFill>
                <a:schemeClr val="tx1"/>
              </a:solidFill>
              <a:latin typeface="Algerian" panose="04020705040A02060702" pitchFamily="82" charset="0"/>
            </a:rPr>
            <a:t>42		</a:t>
          </a:r>
          <a:r>
            <a:rPr lang="en-GB" sz="2400">
              <a:solidFill>
                <a:schemeClr val="tx1"/>
              </a:solidFill>
              <a:latin typeface="Felix Titling" panose="04060505060202020A04" pitchFamily="82" charset="0"/>
            </a:rPr>
            <a:t>Revenue</a:t>
          </a:r>
          <a:r>
            <a:rPr lang="en-GB" sz="2400" baseline="0">
              <a:solidFill>
                <a:schemeClr val="tx1"/>
              </a:solidFill>
              <a:latin typeface="Felix Titling" panose="04060505060202020A04" pitchFamily="82" charset="0"/>
            </a:rPr>
            <a:t> Generated </a:t>
          </a:r>
          <a:r>
            <a:rPr lang="en-GB" sz="2400" baseline="0">
              <a:solidFill>
                <a:schemeClr val="tx1"/>
              </a:solidFill>
              <a:latin typeface="Amasis MT Pro Medium" panose="02040604050005020304" pitchFamily="18" charset="0"/>
            </a:rPr>
            <a:t>- </a:t>
          </a:r>
          <a:r>
            <a:rPr lang="en-GB" sz="4000" b="1" baseline="0">
              <a:solidFill>
                <a:schemeClr val="tx1"/>
              </a:solidFill>
              <a:latin typeface="Algerian" panose="04020705040A02060702" pitchFamily="82" charset="0"/>
            </a:rPr>
            <a:t>$12436421</a:t>
          </a:r>
          <a:endParaRPr lang="en-GB" sz="2400" b="1">
            <a:solidFill>
              <a:schemeClr val="tx1"/>
            </a:solidFill>
            <a:latin typeface="Algerian" panose="04020705040A02060702" pitchFamily="82" charset="0"/>
          </a:endParaRPr>
        </a:p>
      </xdr:txBody>
    </xdr:sp>
    <xdr:clientData/>
  </xdr:twoCellAnchor>
  <xdr:twoCellAnchor editAs="oneCell">
    <xdr:from>
      <xdr:col>0</xdr:col>
      <xdr:colOff>228600</xdr:colOff>
      <xdr:row>12</xdr:row>
      <xdr:rowOff>38100</xdr:rowOff>
    </xdr:from>
    <xdr:to>
      <xdr:col>1</xdr:col>
      <xdr:colOff>469900</xdr:colOff>
      <xdr:row>17</xdr:row>
      <xdr:rowOff>63500</xdr:rowOff>
    </xdr:to>
    <xdr:pic>
      <xdr:nvPicPr>
        <xdr:cNvPr id="3" name="Graphic 2" descr="Circle with left arrow with solid fill">
          <a:hlinkClick xmlns:r="http://schemas.openxmlformats.org/officeDocument/2006/relationships" r:id="rId11"/>
          <a:extLst>
            <a:ext uri="{FF2B5EF4-FFF2-40B4-BE49-F238E27FC236}">
              <a16:creationId xmlns:a16="http://schemas.microsoft.com/office/drawing/2014/main" id="{B5DE9AF9-B2EF-138A-3710-2623B76909C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28600" y="2171700"/>
          <a:ext cx="914400" cy="914400"/>
        </a:xfrm>
        <a:prstGeom prst="rect">
          <a:avLst/>
        </a:prstGeom>
      </xdr:spPr>
    </xdr:pic>
    <xdr:clientData/>
  </xdr:twoCellAnchor>
  <xdr:twoCellAnchor>
    <xdr:from>
      <xdr:col>1</xdr:col>
      <xdr:colOff>495300</xdr:colOff>
      <xdr:row>12</xdr:row>
      <xdr:rowOff>152400</xdr:rowOff>
    </xdr:from>
    <xdr:to>
      <xdr:col>3</xdr:col>
      <xdr:colOff>609600</xdr:colOff>
      <xdr:row>17</xdr:row>
      <xdr:rowOff>0</xdr:rowOff>
    </xdr:to>
    <xdr:sp macro="" textlink="">
      <xdr:nvSpPr>
        <xdr:cNvPr id="4" name="TextBox 3">
          <a:extLst>
            <a:ext uri="{FF2B5EF4-FFF2-40B4-BE49-F238E27FC236}">
              <a16:creationId xmlns:a16="http://schemas.microsoft.com/office/drawing/2014/main" id="{E4795E4F-5677-2B58-E574-0B8D07D49054}"/>
            </a:ext>
          </a:extLst>
        </xdr:cNvPr>
        <xdr:cNvSpPr txBox="1"/>
      </xdr:nvSpPr>
      <xdr:spPr>
        <a:xfrm>
          <a:off x="1168400" y="2286000"/>
          <a:ext cx="1460500" cy="736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800">
              <a:solidFill>
                <a:schemeClr val="bg1"/>
              </a:solidFill>
              <a:latin typeface="AngsanaUPC" panose="020B0502040204020203" pitchFamily="18" charset="-34"/>
              <a:cs typeface="AngsanaUPC" panose="020B0502040204020203" pitchFamily="18" charset="-34"/>
            </a:rPr>
            <a:t>PivotTable</a:t>
          </a:r>
        </a:p>
      </xdr:txBody>
    </xdr:sp>
    <xdr:clientData/>
  </xdr:twoCellAnchor>
  <xdr:twoCellAnchor editAs="oneCell">
    <xdr:from>
      <xdr:col>0</xdr:col>
      <xdr:colOff>203200</xdr:colOff>
      <xdr:row>17</xdr:row>
      <xdr:rowOff>152400</xdr:rowOff>
    </xdr:from>
    <xdr:to>
      <xdr:col>1</xdr:col>
      <xdr:colOff>444500</xdr:colOff>
      <xdr:row>23</xdr:row>
      <xdr:rowOff>0</xdr:rowOff>
    </xdr:to>
    <xdr:pic>
      <xdr:nvPicPr>
        <xdr:cNvPr id="5" name="Graphic 4" descr="Circle with left arrow with solid fill">
          <a:hlinkClick xmlns:r="http://schemas.openxmlformats.org/officeDocument/2006/relationships" r:id="rId14"/>
          <a:extLst>
            <a:ext uri="{FF2B5EF4-FFF2-40B4-BE49-F238E27FC236}">
              <a16:creationId xmlns:a16="http://schemas.microsoft.com/office/drawing/2014/main" id="{D870C850-9AED-4758-9579-275B2C3B93F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03200" y="3175000"/>
          <a:ext cx="914400" cy="914400"/>
        </a:xfrm>
        <a:prstGeom prst="rect">
          <a:avLst/>
        </a:prstGeom>
      </xdr:spPr>
    </xdr:pic>
    <xdr:clientData/>
  </xdr:twoCellAnchor>
  <xdr:twoCellAnchor>
    <xdr:from>
      <xdr:col>1</xdr:col>
      <xdr:colOff>469900</xdr:colOff>
      <xdr:row>18</xdr:row>
      <xdr:rowOff>88900</xdr:rowOff>
    </xdr:from>
    <xdr:to>
      <xdr:col>3</xdr:col>
      <xdr:colOff>584200</xdr:colOff>
      <xdr:row>22</xdr:row>
      <xdr:rowOff>114300</xdr:rowOff>
    </xdr:to>
    <xdr:sp macro="" textlink="">
      <xdr:nvSpPr>
        <xdr:cNvPr id="6" name="TextBox 5">
          <a:extLst>
            <a:ext uri="{FF2B5EF4-FFF2-40B4-BE49-F238E27FC236}">
              <a16:creationId xmlns:a16="http://schemas.microsoft.com/office/drawing/2014/main" id="{861BA3B1-3F54-418A-A6B3-26F828A9F644}"/>
            </a:ext>
          </a:extLst>
        </xdr:cNvPr>
        <xdr:cNvSpPr txBox="1"/>
      </xdr:nvSpPr>
      <xdr:spPr>
        <a:xfrm>
          <a:off x="1143000" y="3289300"/>
          <a:ext cx="1460500" cy="736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800">
              <a:solidFill>
                <a:schemeClr val="bg1"/>
              </a:solidFill>
              <a:latin typeface="AngsanaUPC" panose="020B0502040204020203" pitchFamily="18" charset="-34"/>
              <a:cs typeface="AngsanaUPC" panose="020B0502040204020203" pitchFamily="18" charset="-34"/>
            </a:rPr>
            <a:t>MasterData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 refreshedDate="46101.608248495373" createdVersion="8" refreshedVersion="8" minRefreshableVersion="3" recordCount="125" xr:uid="{B73D9B00-705B-4DFE-AA74-4441EA740654}">
  <cacheSource type="worksheet">
    <worksheetSource name="MasterTable"/>
  </cacheSource>
  <cacheFields count="16">
    <cacheField name="PropertyID" numFmtId="0">
      <sharedItems/>
    </cacheField>
    <cacheField name="Area" numFmtId="0">
      <sharedItems count="3">
        <s v="North County"/>
        <s v="Central"/>
        <s v="South County"/>
      </sharedItems>
    </cacheField>
    <cacheField name="Type" numFmtId="0">
      <sharedItems count="2">
        <s v="Single Family "/>
        <s v="Condo"/>
      </sharedItems>
    </cacheField>
    <cacheField name="Agent" numFmtId="14">
      <sharedItems count="6">
        <s v="Hamilton"/>
        <s v="Barnes"/>
        <s v="Adams"/>
        <s v="Daily"/>
        <s v="Bennet"/>
        <s v="Chung"/>
      </sharedItems>
    </cacheField>
    <cacheField name="Date Listed" numFmtId="14">
      <sharedItems containsSemiMixedTypes="0" containsNonDate="0" containsDate="1" containsString="0" minDate="2022-02-14T00:00:00" maxDate="2022-11-22T00:00:00"/>
    </cacheField>
    <cacheField name="Sale Date" numFmtId="14">
      <sharedItems containsNonDate="0" containsDate="1" containsString="0" containsBlank="1" minDate="2022-10-18T00:00:00" maxDate="2024-02-03T00:00:00" count="42">
        <m/>
        <d v="2023-09-02T00:00:00"/>
        <d v="2023-11-06T00:00:00"/>
        <d v="2023-12-25T00:00:00"/>
        <d v="2024-01-19T00:00:00"/>
        <d v="2024-01-08T00:00:00"/>
        <d v="2023-11-24T00:00:00"/>
        <d v="2023-08-26T00:00:00"/>
        <d v="2022-11-30T00:00:00"/>
        <d v="2022-10-27T00:00:00"/>
        <d v="2023-04-12T00:00:00"/>
        <d v="2023-07-12T00:00:00"/>
        <d v="2023-04-29T00:00:00"/>
        <d v="2023-05-10T00:00:00"/>
        <d v="2022-10-30T00:00:00"/>
        <d v="2023-04-27T00:00:00"/>
        <d v="2022-11-07T00:00:00"/>
        <d v="2023-08-01T00:00:00"/>
        <d v="2022-10-18T00:00:00"/>
        <d v="2023-09-08T00:00:00"/>
        <d v="2024-02-02T00:00:00"/>
        <d v="2023-07-25T00:00:00"/>
        <d v="2023-08-17T00:00:00"/>
        <d v="2023-05-16T00:00:00"/>
        <d v="2023-09-23T00:00:00"/>
        <d v="2022-11-17T00:00:00"/>
        <d v="2023-01-01T00:00:00"/>
        <d v="2023-04-11T00:00:00"/>
        <d v="2023-12-07T00:00:00"/>
        <d v="2022-12-06T00:00:00"/>
        <d v="2023-05-25T00:00:00"/>
        <d v="2023-02-06T00:00:00"/>
        <d v="2023-07-04T00:00:00"/>
        <d v="2023-03-08T00:00:00"/>
        <d v="2023-10-27T00:00:00"/>
        <d v="2024-01-13T00:00:00"/>
        <d v="2023-03-15T00:00:00"/>
        <d v="2023-01-15T00:00:00"/>
        <d v="2023-11-13T00:00:00"/>
        <d v="2023-01-25T00:00:00"/>
        <d v="2023-06-25T00:00:00"/>
        <d v="2023-09-19T00:00:00"/>
      </sharedItems>
      <fieldGroup par="15"/>
    </cacheField>
    <cacheField name="Offered Price" numFmtId="167">
      <sharedItems containsSemiMixedTypes="0" containsString="0" containsNumber="1" containsInteger="1" minValue="119000" maxValue="1200500"/>
    </cacheField>
    <cacheField name="Bedrooms" numFmtId="0">
      <sharedItems containsSemiMixedTypes="0" containsString="0" containsNumber="1" containsInteger="1" minValue="1" maxValue="6"/>
    </cacheField>
    <cacheField name="Baths" numFmtId="0">
      <sharedItems containsSemiMixedTypes="0" containsString="0" containsNumber="1" minValue="1" maxValue="5"/>
    </cacheField>
    <cacheField name="SqFt" numFmtId="3">
      <sharedItems containsSemiMixedTypes="0" containsString="0" containsNumber="1" containsInteger="1" minValue="950" maxValue="4800"/>
    </cacheField>
    <cacheField name="Pool" numFmtId="0">
      <sharedItems/>
    </cacheField>
    <cacheField name="Sold" numFmtId="0">
      <sharedItems count="2">
        <s v="No"/>
        <s v="Yes"/>
      </sharedItems>
    </cacheField>
    <cacheField name="Price Per SqFt" numFmtId="167">
      <sharedItems containsSemiMixedTypes="0" containsString="0" containsNumber="1" minValue="85" maxValue="282.98969072164948"/>
    </cacheField>
    <cacheField name="Months (Sale Date)" numFmtId="0" databaseField="0">
      <fieldGroup base="5">
        <rangePr groupBy="months" startDate="2022-10-18T00:00:00" endDate="2024-02-03T00:00:00"/>
        <groupItems count="14">
          <s v="&lt;18/10/2022"/>
          <s v="Jan"/>
          <s v="Feb"/>
          <s v="Mar"/>
          <s v="Apr"/>
          <s v="May"/>
          <s v="Jun"/>
          <s v="Jul"/>
          <s v="Aug"/>
          <s v="Sep"/>
          <s v="Oct"/>
          <s v="Nov"/>
          <s v="Dec"/>
          <s v="&gt;03/02/2024"/>
        </groupItems>
      </fieldGroup>
    </cacheField>
    <cacheField name="Quarters (Sale Date)" numFmtId="0" databaseField="0">
      <fieldGroup base="5">
        <rangePr groupBy="quarters" startDate="2022-10-18T00:00:00" endDate="2024-02-03T00:00:00"/>
        <groupItems count="6">
          <s v="&lt;18/10/2022"/>
          <s v="Qtr1"/>
          <s v="Qtr2"/>
          <s v="Qtr3"/>
          <s v="Qtr4"/>
          <s v="&gt;03/02/2024"/>
        </groupItems>
      </fieldGroup>
    </cacheField>
    <cacheField name="Years (Sale Date)" numFmtId="0" databaseField="0">
      <fieldGroup base="5">
        <rangePr groupBy="years" startDate="2022-10-18T00:00:00" endDate="2024-02-03T00:00:00"/>
        <groupItems count="5">
          <s v="&lt;18/10/2022"/>
          <s v="2022"/>
          <s v="2023"/>
          <s v="2024"/>
          <s v="&gt;03/02/2024"/>
        </groupItems>
      </fieldGroup>
    </cacheField>
  </cacheFields>
  <extLst>
    <ext xmlns:x14="http://schemas.microsoft.com/office/spreadsheetml/2009/9/main" uri="{725AE2AE-9491-48be-B2B4-4EB974FC3084}">
      <x14:pivotCacheDefinition pivotCacheId="7362847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s v="P015001"/>
    <x v="0"/>
    <x v="0"/>
    <x v="0"/>
    <d v="2022-02-18T00:00:00"/>
    <x v="0"/>
    <n v="425900"/>
    <n v="5"/>
    <n v="3"/>
    <n v="2414"/>
    <s v="Yes"/>
    <x v="0"/>
    <n v="176.42916321458162"/>
  </r>
  <r>
    <s v="P015002"/>
    <x v="0"/>
    <x v="1"/>
    <x v="0"/>
    <d v="2022-08-01T00:00:00"/>
    <x v="1"/>
    <n v="379000"/>
    <n v="3"/>
    <n v="3"/>
    <n v="2354"/>
    <s v="No"/>
    <x v="1"/>
    <n v="161.00254885301615"/>
  </r>
  <r>
    <s v="P015003"/>
    <x v="0"/>
    <x v="1"/>
    <x v="0"/>
    <d v="2022-08-03T00:00:00"/>
    <x v="2"/>
    <n v="345000"/>
    <n v="4"/>
    <n v="3"/>
    <n v="2388"/>
    <s v="Yes"/>
    <x v="1"/>
    <n v="144.47236180904522"/>
  </r>
  <r>
    <s v="P015004"/>
    <x v="1"/>
    <x v="1"/>
    <x v="0"/>
    <d v="2022-09-05T00:00:00"/>
    <x v="0"/>
    <n v="249900"/>
    <n v="2"/>
    <n v="1"/>
    <n v="1101"/>
    <s v="No"/>
    <x v="0"/>
    <n v="226.97547683923705"/>
  </r>
  <r>
    <s v="P015005"/>
    <x v="0"/>
    <x v="0"/>
    <x v="0"/>
    <d v="2022-08-22T00:00:00"/>
    <x v="0"/>
    <n v="1200500"/>
    <n v="5"/>
    <n v="5"/>
    <n v="4696"/>
    <s v="Yes"/>
    <x v="0"/>
    <n v="255.64310051107324"/>
  </r>
  <r>
    <s v="P015006"/>
    <x v="1"/>
    <x v="0"/>
    <x v="0"/>
    <d v="2022-07-12T00:00:00"/>
    <x v="0"/>
    <n v="268500"/>
    <n v="4"/>
    <n v="2.5"/>
    <n v="1911"/>
    <s v="No"/>
    <x v="0"/>
    <n v="140.50235478806908"/>
  </r>
  <r>
    <s v="P015007"/>
    <x v="0"/>
    <x v="1"/>
    <x v="0"/>
    <d v="2022-04-14T00:00:00"/>
    <x v="0"/>
    <n v="229900"/>
    <n v="3"/>
    <n v="3"/>
    <n v="2266"/>
    <s v="No"/>
    <x v="0"/>
    <n v="101.45631067961165"/>
  </r>
  <r>
    <s v="P015008"/>
    <x v="2"/>
    <x v="1"/>
    <x v="0"/>
    <d v="2022-07-27T00:00:00"/>
    <x v="0"/>
    <n v="229500"/>
    <n v="4"/>
    <n v="2.5"/>
    <n v="2284"/>
    <s v="No"/>
    <x v="0"/>
    <n v="100.48161120840631"/>
  </r>
  <r>
    <s v="P015009"/>
    <x v="0"/>
    <x v="0"/>
    <x v="0"/>
    <d v="2022-07-15T00:00:00"/>
    <x v="0"/>
    <n v="349000"/>
    <n v="4"/>
    <n v="3"/>
    <n v="3930"/>
    <s v="Yes"/>
    <x v="0"/>
    <n v="88.804071246819333"/>
  </r>
  <r>
    <s v="P015010"/>
    <x v="2"/>
    <x v="1"/>
    <x v="1"/>
    <d v="2022-04-18T00:00:00"/>
    <x v="0"/>
    <n v="236900"/>
    <n v="1"/>
    <n v="2"/>
    <n v="1483"/>
    <s v="No"/>
    <x v="0"/>
    <n v="159.74376264329064"/>
  </r>
  <r>
    <s v="P015011"/>
    <x v="1"/>
    <x v="0"/>
    <x v="2"/>
    <d v="2022-08-05T00:00:00"/>
    <x v="3"/>
    <n v="389900"/>
    <n v="4"/>
    <n v="2.5"/>
    <n v="2284"/>
    <s v="No"/>
    <x v="1"/>
    <n v="170.70928196147111"/>
  </r>
  <r>
    <s v="P015012"/>
    <x v="0"/>
    <x v="1"/>
    <x v="0"/>
    <d v="2022-09-25T00:00:00"/>
    <x v="4"/>
    <n v="349000"/>
    <n v="3"/>
    <n v="2.5"/>
    <n v="1727"/>
    <s v="Yes"/>
    <x v="1"/>
    <n v="202.08453966415749"/>
  </r>
  <r>
    <s v="P015013"/>
    <x v="2"/>
    <x v="1"/>
    <x v="0"/>
    <d v="2022-09-09T00:00:00"/>
    <x v="5"/>
    <n v="205500"/>
    <n v="4"/>
    <n v="2.5"/>
    <n v="2036"/>
    <s v="No"/>
    <x v="1"/>
    <n v="100.93320235756386"/>
  </r>
  <r>
    <s v="P015014"/>
    <x v="0"/>
    <x v="1"/>
    <x v="3"/>
    <d v="2022-09-20T00:00:00"/>
    <x v="0"/>
    <n v="239900"/>
    <n v="4"/>
    <n v="3"/>
    <n v="2041"/>
    <s v="No"/>
    <x v="0"/>
    <n v="117.54042136207741"/>
  </r>
  <r>
    <s v="P015015"/>
    <x v="1"/>
    <x v="0"/>
    <x v="4"/>
    <d v="2022-04-14T00:00:00"/>
    <x v="0"/>
    <n v="375000"/>
    <n v="4"/>
    <n v="3"/>
    <n v="2467"/>
    <s v="Yes"/>
    <x v="0"/>
    <n v="152.00648561005269"/>
  </r>
  <r>
    <s v="P015016"/>
    <x v="1"/>
    <x v="0"/>
    <x v="0"/>
    <d v="2022-07-31T00:00:00"/>
    <x v="6"/>
    <n v="242500"/>
    <n v="3"/>
    <n v="2.5"/>
    <n v="1902"/>
    <s v="No"/>
    <x v="1"/>
    <n v="127.49737118822293"/>
  </r>
  <r>
    <s v="P015017"/>
    <x v="0"/>
    <x v="0"/>
    <x v="0"/>
    <d v="2022-04-24T00:00:00"/>
    <x v="7"/>
    <n v="349900"/>
    <n v="4"/>
    <n v="3"/>
    <n v="2290"/>
    <s v="Yes"/>
    <x v="1"/>
    <n v="152.7947598253275"/>
  </r>
  <r>
    <s v="P015018"/>
    <x v="2"/>
    <x v="1"/>
    <x v="0"/>
    <d v="2022-05-19T00:00:00"/>
    <x v="8"/>
    <n v="249000"/>
    <n v="3"/>
    <n v="2.5"/>
    <n v="1730"/>
    <s v="No"/>
    <x v="1"/>
    <n v="143.93063583815029"/>
  </r>
  <r>
    <s v="P015019"/>
    <x v="2"/>
    <x v="1"/>
    <x v="0"/>
    <d v="2022-07-27T00:00:00"/>
    <x v="0"/>
    <n v="229500"/>
    <n v="4"/>
    <n v="2.5"/>
    <n v="2284"/>
    <s v="No"/>
    <x v="0"/>
    <n v="100.48161120840631"/>
  </r>
  <r>
    <s v="P015020"/>
    <x v="2"/>
    <x v="0"/>
    <x v="0"/>
    <d v="2022-08-14T00:00:00"/>
    <x v="0"/>
    <n v="317500"/>
    <n v="4"/>
    <n v="3"/>
    <n v="2367"/>
    <s v="No"/>
    <x v="0"/>
    <n v="134.13603717786228"/>
  </r>
  <r>
    <s v="P015021"/>
    <x v="1"/>
    <x v="0"/>
    <x v="0"/>
    <d v="2022-07-25T00:00:00"/>
    <x v="0"/>
    <n v="338876"/>
    <n v="4"/>
    <n v="3"/>
    <n v="2483"/>
    <s v="Yes"/>
    <x v="0"/>
    <n v="136.47845348368909"/>
  </r>
  <r>
    <s v="P015022"/>
    <x v="1"/>
    <x v="1"/>
    <x v="2"/>
    <d v="2022-05-26T00:00:00"/>
    <x v="0"/>
    <n v="119000"/>
    <n v="1"/>
    <n v="1"/>
    <n v="950"/>
    <s v="No"/>
    <x v="0"/>
    <n v="125.26315789473684"/>
  </r>
  <r>
    <s v="P015023"/>
    <x v="0"/>
    <x v="1"/>
    <x v="0"/>
    <d v="2022-04-14T00:00:00"/>
    <x v="9"/>
    <n v="259900"/>
    <n v="3"/>
    <n v="2.5"/>
    <n v="2122"/>
    <s v="No"/>
    <x v="1"/>
    <n v="122.47879359095194"/>
  </r>
  <r>
    <s v="P015024"/>
    <x v="1"/>
    <x v="0"/>
    <x v="5"/>
    <d v="2022-02-14T00:00:00"/>
    <x v="10"/>
    <n v="354000"/>
    <n v="4"/>
    <n v="2"/>
    <n v="2088"/>
    <s v="No"/>
    <x v="1"/>
    <n v="169.54022988505747"/>
  </r>
  <r>
    <s v="P015025"/>
    <x v="0"/>
    <x v="1"/>
    <x v="0"/>
    <d v="2022-04-15T00:00:00"/>
    <x v="11"/>
    <n v="238000"/>
    <n v="4"/>
    <n v="2.5"/>
    <n v="1590"/>
    <s v="No"/>
    <x v="1"/>
    <n v="149.68553459119497"/>
  </r>
  <r>
    <s v="P015026"/>
    <x v="1"/>
    <x v="0"/>
    <x v="3"/>
    <d v="2022-10-02T00:00:00"/>
    <x v="0"/>
    <n v="272500"/>
    <n v="4"/>
    <n v="3"/>
    <n v="2006"/>
    <s v="No"/>
    <x v="0"/>
    <n v="135.84247258225324"/>
  </r>
  <r>
    <s v="P015027"/>
    <x v="2"/>
    <x v="0"/>
    <x v="0"/>
    <d v="2022-03-19T00:00:00"/>
    <x v="0"/>
    <n v="247500"/>
    <n v="4"/>
    <n v="3"/>
    <n v="2000"/>
    <s v="No"/>
    <x v="0"/>
    <n v="123.75"/>
  </r>
  <r>
    <s v="P015028"/>
    <x v="2"/>
    <x v="0"/>
    <x v="0"/>
    <d v="2022-03-16T00:00:00"/>
    <x v="0"/>
    <n v="325000"/>
    <n v="4"/>
    <n v="3"/>
    <n v="2770"/>
    <s v="No"/>
    <x v="0"/>
    <n v="117.32851985559567"/>
  </r>
  <r>
    <s v="P015029"/>
    <x v="0"/>
    <x v="1"/>
    <x v="0"/>
    <d v="2022-06-11T00:00:00"/>
    <x v="0"/>
    <n v="235990"/>
    <n v="4"/>
    <n v="2"/>
    <n v="1656"/>
    <s v="Yes"/>
    <x v="0"/>
    <n v="142.50603864734299"/>
  </r>
  <r>
    <s v="P015030"/>
    <x v="2"/>
    <x v="0"/>
    <x v="2"/>
    <d v="2022-08-19T00:00:00"/>
    <x v="0"/>
    <n v="229500"/>
    <n v="3"/>
    <n v="2"/>
    <n v="1694"/>
    <s v="No"/>
    <x v="0"/>
    <n v="135.47815820543093"/>
  </r>
  <r>
    <s v="P015031"/>
    <x v="2"/>
    <x v="0"/>
    <x v="4"/>
    <d v="2022-07-05T00:00:00"/>
    <x v="0"/>
    <n v="205500"/>
    <n v="4"/>
    <n v="2.5"/>
    <n v="1751"/>
    <s v="No"/>
    <x v="0"/>
    <n v="117.36150770988007"/>
  </r>
  <r>
    <s v="P015032"/>
    <x v="0"/>
    <x v="1"/>
    <x v="1"/>
    <d v="2022-02-28T00:00:00"/>
    <x v="0"/>
    <n v="299000"/>
    <n v="3"/>
    <n v="2"/>
    <n v="2050"/>
    <s v="No"/>
    <x v="0"/>
    <n v="145.85365853658536"/>
  </r>
  <r>
    <s v="P015033"/>
    <x v="2"/>
    <x v="0"/>
    <x v="0"/>
    <d v="2022-08-05T00:00:00"/>
    <x v="12"/>
    <n v="225911"/>
    <n v="4"/>
    <n v="2.5"/>
    <n v="1908"/>
    <s v="No"/>
    <x v="1"/>
    <n v="118.40199161425576"/>
  </r>
  <r>
    <s v="P015034"/>
    <x v="2"/>
    <x v="0"/>
    <x v="0"/>
    <d v="2022-08-26T00:00:00"/>
    <x v="0"/>
    <n v="245000"/>
    <n v="4"/>
    <n v="3"/>
    <n v="2084"/>
    <s v="No"/>
    <x v="0"/>
    <n v="117.56238003838772"/>
  </r>
  <r>
    <s v="P015035"/>
    <x v="2"/>
    <x v="0"/>
    <x v="0"/>
    <d v="2022-09-22T00:00:00"/>
    <x v="13"/>
    <n v="289000"/>
    <n v="3"/>
    <n v="2"/>
    <n v="1627"/>
    <s v="No"/>
    <x v="1"/>
    <n v="177.62753534111863"/>
  </r>
  <r>
    <s v="P015036"/>
    <x v="2"/>
    <x v="0"/>
    <x v="0"/>
    <d v="2022-02-21T00:00:00"/>
    <x v="0"/>
    <n v="269900"/>
    <n v="4"/>
    <n v="2.5"/>
    <n v="1911"/>
    <s v="No"/>
    <x v="0"/>
    <n v="141.23495552066981"/>
  </r>
  <r>
    <s v="P015037"/>
    <x v="0"/>
    <x v="1"/>
    <x v="0"/>
    <d v="2022-08-16T00:00:00"/>
    <x v="0"/>
    <n v="264900"/>
    <n v="3"/>
    <n v="2.5"/>
    <n v="2062"/>
    <s v="No"/>
    <x v="0"/>
    <n v="128.4675072744908"/>
  </r>
  <r>
    <s v="P015038"/>
    <x v="0"/>
    <x v="1"/>
    <x v="1"/>
    <d v="2022-04-08T00:00:00"/>
    <x v="14"/>
    <n v="259900"/>
    <n v="4"/>
    <n v="3"/>
    <n v="1734"/>
    <s v="No"/>
    <x v="1"/>
    <n v="149.88465974625143"/>
  </r>
  <r>
    <s v="P015039"/>
    <x v="2"/>
    <x v="0"/>
    <x v="0"/>
    <d v="2022-04-14T00:00:00"/>
    <x v="15"/>
    <n v="208750"/>
    <n v="4"/>
    <n v="3"/>
    <n v="2207"/>
    <s v="Yes"/>
    <x v="1"/>
    <n v="94.585410058903491"/>
  </r>
  <r>
    <s v="P015040"/>
    <x v="1"/>
    <x v="0"/>
    <x v="0"/>
    <d v="2022-07-25T00:00:00"/>
    <x v="0"/>
    <n v="309950"/>
    <n v="4"/>
    <n v="3"/>
    <n v="2800"/>
    <s v="Yes"/>
    <x v="0"/>
    <n v="110.69642857142857"/>
  </r>
  <r>
    <s v="P015041"/>
    <x v="0"/>
    <x v="0"/>
    <x v="4"/>
    <d v="2022-04-17T00:00:00"/>
    <x v="16"/>
    <n v="405000"/>
    <n v="3"/>
    <n v="3"/>
    <n v="2444"/>
    <s v="Yes"/>
    <x v="1"/>
    <n v="165.71194762684124"/>
  </r>
  <r>
    <s v="P015042"/>
    <x v="0"/>
    <x v="0"/>
    <x v="0"/>
    <d v="2022-07-29T00:00:00"/>
    <x v="0"/>
    <n v="349000"/>
    <n v="3"/>
    <n v="2.5"/>
    <n v="2000"/>
    <s v="Yes"/>
    <x v="0"/>
    <n v="174.5"/>
  </r>
  <r>
    <s v="P015043"/>
    <x v="1"/>
    <x v="0"/>
    <x v="0"/>
    <d v="2022-03-31T00:00:00"/>
    <x v="0"/>
    <n v="365000"/>
    <n v="3"/>
    <n v="2.5"/>
    <n v="1871"/>
    <s v="No"/>
    <x v="0"/>
    <n v="195.08284339925174"/>
  </r>
  <r>
    <s v="P015044"/>
    <x v="1"/>
    <x v="1"/>
    <x v="5"/>
    <d v="2022-02-20T00:00:00"/>
    <x v="0"/>
    <n v="239900"/>
    <n v="2"/>
    <n v="2"/>
    <n v="1248"/>
    <s v="No"/>
    <x v="0"/>
    <n v="192.22756410256412"/>
  </r>
  <r>
    <s v="P015045"/>
    <x v="2"/>
    <x v="1"/>
    <x v="0"/>
    <d v="2022-10-11T00:00:00"/>
    <x v="0"/>
    <n v="264900"/>
    <n v="4"/>
    <n v="2.5"/>
    <n v="2488"/>
    <s v="No"/>
    <x v="0"/>
    <n v="106.47106109324758"/>
  </r>
  <r>
    <s v="P015046"/>
    <x v="1"/>
    <x v="0"/>
    <x v="3"/>
    <d v="2022-08-28T00:00:00"/>
    <x v="0"/>
    <n v="239900"/>
    <n v="4"/>
    <n v="3"/>
    <n v="2278"/>
    <s v="No"/>
    <x v="0"/>
    <n v="105.3116769095698"/>
  </r>
  <r>
    <s v="P015047"/>
    <x v="0"/>
    <x v="0"/>
    <x v="1"/>
    <d v="2022-04-08T00:00:00"/>
    <x v="17"/>
    <n v="339900"/>
    <n v="3"/>
    <n v="2"/>
    <n v="1828"/>
    <s v="Yes"/>
    <x v="1"/>
    <n v="185.94091903719914"/>
  </r>
  <r>
    <s v="P015048"/>
    <x v="2"/>
    <x v="1"/>
    <x v="0"/>
    <d v="2022-08-21T00:00:00"/>
    <x v="0"/>
    <n v="300000"/>
    <n v="4"/>
    <n v="3"/>
    <n v="2650"/>
    <s v="No"/>
    <x v="0"/>
    <n v="113.20754716981132"/>
  </r>
  <r>
    <s v="P015049"/>
    <x v="2"/>
    <x v="0"/>
    <x v="1"/>
    <d v="2022-06-19T00:00:00"/>
    <x v="0"/>
    <n v="225000"/>
    <n v="4"/>
    <n v="3"/>
    <n v="2013"/>
    <s v="Yes"/>
    <x v="0"/>
    <n v="111.77347242921013"/>
  </r>
  <r>
    <s v="P015050"/>
    <x v="2"/>
    <x v="1"/>
    <x v="0"/>
    <d v="2022-04-18T00:00:00"/>
    <x v="18"/>
    <n v="240000"/>
    <n v="3"/>
    <n v="2.5"/>
    <n v="1595"/>
    <s v="No"/>
    <x v="1"/>
    <n v="150.47021943573668"/>
  </r>
  <r>
    <s v="P015051"/>
    <x v="2"/>
    <x v="1"/>
    <x v="0"/>
    <d v="2022-04-12T00:00:00"/>
    <x v="19"/>
    <n v="325000"/>
    <n v="4"/>
    <n v="3"/>
    <n v="2800"/>
    <s v="Yes"/>
    <x v="1"/>
    <n v="116.07142857142857"/>
  </r>
  <r>
    <s v="P015052"/>
    <x v="1"/>
    <x v="1"/>
    <x v="0"/>
    <d v="2022-10-02T00:00:00"/>
    <x v="0"/>
    <n v="199000"/>
    <n v="3"/>
    <n v="2.5"/>
    <n v="1510"/>
    <s v="No"/>
    <x v="0"/>
    <n v="131.78807947019868"/>
  </r>
  <r>
    <s v="P015053"/>
    <x v="0"/>
    <x v="1"/>
    <x v="0"/>
    <d v="2022-05-20T00:00:00"/>
    <x v="0"/>
    <n v="229900"/>
    <n v="4"/>
    <n v="3"/>
    <n v="2041"/>
    <s v="No"/>
    <x v="0"/>
    <n v="112.64086232239099"/>
  </r>
  <r>
    <s v="P015054"/>
    <x v="2"/>
    <x v="0"/>
    <x v="0"/>
    <d v="2022-04-26T00:00:00"/>
    <x v="0"/>
    <n v="225911"/>
    <n v="4"/>
    <n v="2.5"/>
    <n v="1908"/>
    <s v="Yes"/>
    <x v="0"/>
    <n v="118.40199161425576"/>
  </r>
  <r>
    <s v="P015055"/>
    <x v="1"/>
    <x v="0"/>
    <x v="0"/>
    <d v="2022-07-01T00:00:00"/>
    <x v="0"/>
    <n v="236900"/>
    <n v="3"/>
    <n v="2"/>
    <n v="1700"/>
    <s v="No"/>
    <x v="0"/>
    <n v="139.35294117647058"/>
  </r>
  <r>
    <s v="P015056"/>
    <x v="2"/>
    <x v="0"/>
    <x v="5"/>
    <d v="2022-09-19T00:00:00"/>
    <x v="20"/>
    <n v="339900"/>
    <n v="4"/>
    <n v="3"/>
    <n v="2687"/>
    <s v="No"/>
    <x v="1"/>
    <n v="126.49795310755489"/>
  </r>
  <r>
    <s v="P015057"/>
    <x v="0"/>
    <x v="0"/>
    <x v="0"/>
    <d v="2022-07-16T00:00:00"/>
    <x v="0"/>
    <n v="369900"/>
    <n v="5"/>
    <n v="3"/>
    <n v="2477"/>
    <s v="No"/>
    <x v="0"/>
    <n v="149.33387161889382"/>
  </r>
  <r>
    <s v="P015058"/>
    <x v="2"/>
    <x v="1"/>
    <x v="0"/>
    <d v="2022-04-14T00:00:00"/>
    <x v="21"/>
    <n v="227500"/>
    <n v="4"/>
    <n v="3"/>
    <n v="1905"/>
    <s v="No"/>
    <x v="1"/>
    <n v="119.42257217847769"/>
  </r>
  <r>
    <s v="P015059"/>
    <x v="1"/>
    <x v="0"/>
    <x v="5"/>
    <d v="2022-09-21T00:00:00"/>
    <x v="0"/>
    <n v="250000"/>
    <n v="4"/>
    <n v="3"/>
    <n v="1943"/>
    <s v="No"/>
    <x v="0"/>
    <n v="128.66700977869274"/>
  </r>
  <r>
    <s v="P015060"/>
    <x v="0"/>
    <x v="1"/>
    <x v="0"/>
    <d v="2022-11-21T00:00:00"/>
    <x v="0"/>
    <n v="369900"/>
    <n v="4"/>
    <n v="3"/>
    <n v="1988"/>
    <s v="No"/>
    <x v="0"/>
    <n v="186.06639839034204"/>
  </r>
  <r>
    <s v="P015061"/>
    <x v="0"/>
    <x v="0"/>
    <x v="0"/>
    <d v="2022-03-23T00:00:00"/>
    <x v="22"/>
    <n v="379000"/>
    <n v="4"/>
    <n v="3"/>
    <n v="3000"/>
    <s v="No"/>
    <x v="1"/>
    <n v="126.33333333333333"/>
  </r>
  <r>
    <s v="P015062"/>
    <x v="2"/>
    <x v="0"/>
    <x v="0"/>
    <d v="2022-07-13T00:00:00"/>
    <x v="0"/>
    <n v="349000"/>
    <n v="4"/>
    <n v="3"/>
    <n v="1838"/>
    <s v="No"/>
    <x v="0"/>
    <n v="189.88030467899893"/>
  </r>
  <r>
    <s v="P015063"/>
    <x v="0"/>
    <x v="0"/>
    <x v="4"/>
    <d v="2022-06-16T00:00:00"/>
    <x v="0"/>
    <n v="359000"/>
    <n v="3"/>
    <n v="2.5"/>
    <n v="2210"/>
    <s v="No"/>
    <x v="0"/>
    <n v="162.44343891402715"/>
  </r>
  <r>
    <s v="P015064"/>
    <x v="2"/>
    <x v="0"/>
    <x v="4"/>
    <d v="2022-10-11T00:00:00"/>
    <x v="0"/>
    <n v="360000"/>
    <n v="3"/>
    <n v="2.5"/>
    <n v="2330"/>
    <s v="No"/>
    <x v="0"/>
    <n v="154.50643776824035"/>
  </r>
  <r>
    <s v="P015065"/>
    <x v="1"/>
    <x v="1"/>
    <x v="2"/>
    <d v="2022-09-26T00:00:00"/>
    <x v="0"/>
    <n v="340000"/>
    <n v="4"/>
    <n v="2.5"/>
    <n v="2517"/>
    <s v="No"/>
    <x v="0"/>
    <n v="135.08144616607072"/>
  </r>
  <r>
    <s v="P015066"/>
    <x v="2"/>
    <x v="0"/>
    <x v="1"/>
    <d v="2022-06-19T00:00:00"/>
    <x v="0"/>
    <n v="208750"/>
    <n v="4"/>
    <n v="2"/>
    <n v="1800"/>
    <s v="No"/>
    <x v="0"/>
    <n v="115.97222222222223"/>
  </r>
  <r>
    <s v="P015067"/>
    <x v="1"/>
    <x v="0"/>
    <x v="0"/>
    <d v="2022-04-21T00:00:00"/>
    <x v="0"/>
    <n v="265000"/>
    <n v="4"/>
    <n v="3"/>
    <n v="1905"/>
    <s v="No"/>
    <x v="0"/>
    <n v="139.10761154855643"/>
  </r>
  <r>
    <s v="P015068"/>
    <x v="1"/>
    <x v="0"/>
    <x v="0"/>
    <d v="2022-03-01T00:00:00"/>
    <x v="0"/>
    <n v="229900"/>
    <n v="4"/>
    <n v="3"/>
    <n v="2006"/>
    <s v="No"/>
    <x v="0"/>
    <n v="114.60618145563311"/>
  </r>
  <r>
    <s v="P015069"/>
    <x v="2"/>
    <x v="0"/>
    <x v="0"/>
    <d v="2022-05-28T00:00:00"/>
    <x v="0"/>
    <n v="574900"/>
    <n v="5"/>
    <n v="4"/>
    <n v="4700"/>
    <s v="No"/>
    <x v="0"/>
    <n v="122.31914893617021"/>
  </r>
  <r>
    <s v="P015070"/>
    <x v="2"/>
    <x v="0"/>
    <x v="2"/>
    <d v="2022-05-12T00:00:00"/>
    <x v="23"/>
    <n v="360000"/>
    <n v="5"/>
    <n v="3"/>
    <n v="2112"/>
    <s v="Yes"/>
    <x v="1"/>
    <n v="170.45454545454547"/>
  </r>
  <r>
    <s v="P015071"/>
    <x v="0"/>
    <x v="0"/>
    <x v="0"/>
    <d v="2022-04-02T00:00:00"/>
    <x v="24"/>
    <n v="248500"/>
    <n v="4"/>
    <n v="2.5"/>
    <n v="2101"/>
    <s v="Yes"/>
    <x v="1"/>
    <n v="118.27701094716801"/>
  </r>
  <r>
    <s v="P015072"/>
    <x v="2"/>
    <x v="0"/>
    <x v="0"/>
    <d v="2022-04-04T00:00:00"/>
    <x v="25"/>
    <n v="297500"/>
    <n v="4"/>
    <n v="3.5"/>
    <n v="2170"/>
    <s v="No"/>
    <x v="1"/>
    <n v="137.09677419354838"/>
  </r>
  <r>
    <s v="P015073"/>
    <x v="1"/>
    <x v="1"/>
    <x v="5"/>
    <d v="2022-05-10T00:00:00"/>
    <x v="0"/>
    <n v="319000"/>
    <n v="3"/>
    <n v="2.5"/>
    <n v="2586"/>
    <s v="No"/>
    <x v="0"/>
    <n v="123.35653518948183"/>
  </r>
  <r>
    <s v="P015074"/>
    <x v="0"/>
    <x v="0"/>
    <x v="0"/>
    <d v="2022-08-10T00:00:00"/>
    <x v="0"/>
    <n v="389000"/>
    <n v="4"/>
    <n v="3"/>
    <n v="3109"/>
    <s v="No"/>
    <x v="0"/>
    <n v="125.12061756191702"/>
  </r>
  <r>
    <s v="P015075"/>
    <x v="0"/>
    <x v="1"/>
    <x v="0"/>
    <d v="2022-03-15T00:00:00"/>
    <x v="26"/>
    <n v="350000"/>
    <n v="3"/>
    <n v="2.5"/>
    <n v="1991"/>
    <s v="No"/>
    <x v="1"/>
    <n v="175.79105976896031"/>
  </r>
  <r>
    <s v="P015076"/>
    <x v="0"/>
    <x v="1"/>
    <x v="0"/>
    <d v="2022-07-22T00:00:00"/>
    <x v="0"/>
    <n v="215000"/>
    <n v="4"/>
    <n v="2.5"/>
    <n v="1640"/>
    <s v="Yes"/>
    <x v="0"/>
    <n v="131.09756097560975"/>
  </r>
  <r>
    <s v="P015077"/>
    <x v="0"/>
    <x v="1"/>
    <x v="0"/>
    <d v="2022-05-30T00:00:00"/>
    <x v="0"/>
    <n v="379900"/>
    <n v="3"/>
    <n v="2.5"/>
    <n v="2468"/>
    <s v="No"/>
    <x v="0"/>
    <n v="153.93030794165315"/>
  </r>
  <r>
    <s v="P015078"/>
    <x v="1"/>
    <x v="0"/>
    <x v="5"/>
    <d v="2022-03-07T00:00:00"/>
    <x v="0"/>
    <n v="364900"/>
    <n v="4"/>
    <n v="2.5"/>
    <n v="2507"/>
    <s v="No"/>
    <x v="0"/>
    <n v="145.55245313123254"/>
  </r>
  <r>
    <s v="P015079"/>
    <x v="2"/>
    <x v="1"/>
    <x v="5"/>
    <d v="2022-03-19T00:00:00"/>
    <x v="27"/>
    <n v="215000"/>
    <n v="1"/>
    <n v="2"/>
    <n v="1552"/>
    <s v="No"/>
    <x v="1"/>
    <n v="138.53092783505156"/>
  </r>
  <r>
    <s v="P015080"/>
    <x v="2"/>
    <x v="0"/>
    <x v="0"/>
    <d v="2022-06-19T00:00:00"/>
    <x v="0"/>
    <n v="229900"/>
    <n v="3"/>
    <n v="2.5"/>
    <n v="1580"/>
    <s v="Yes"/>
    <x v="0"/>
    <n v="145.50632911392404"/>
  </r>
  <r>
    <s v="P015081"/>
    <x v="0"/>
    <x v="1"/>
    <x v="0"/>
    <d v="2022-05-30T00:00:00"/>
    <x v="0"/>
    <n v="379900"/>
    <n v="3"/>
    <n v="2.5"/>
    <n v="2468"/>
    <s v="No"/>
    <x v="0"/>
    <n v="153.93030794165315"/>
  </r>
  <r>
    <s v="P015082"/>
    <x v="1"/>
    <x v="0"/>
    <x v="0"/>
    <d v="2022-09-29T00:00:00"/>
    <x v="0"/>
    <n v="290000"/>
    <n v="4"/>
    <n v="2"/>
    <n v="2400"/>
    <s v="No"/>
    <x v="0"/>
    <n v="120.83333333333333"/>
  </r>
  <r>
    <s v="P015083"/>
    <x v="1"/>
    <x v="1"/>
    <x v="0"/>
    <d v="2022-04-04T00:00:00"/>
    <x v="0"/>
    <n v="319000"/>
    <n v="4"/>
    <n v="2"/>
    <n v="1690"/>
    <s v="Yes"/>
    <x v="0"/>
    <n v="188.75739644970415"/>
  </r>
  <r>
    <s v="P015084"/>
    <x v="2"/>
    <x v="0"/>
    <x v="0"/>
    <d v="2022-06-13T00:00:00"/>
    <x v="28"/>
    <n v="245000"/>
    <n v="4"/>
    <n v="3"/>
    <n v="2047"/>
    <s v="No"/>
    <x v="1"/>
    <n v="119.68734733756718"/>
  </r>
  <r>
    <s v="P015085"/>
    <x v="2"/>
    <x v="0"/>
    <x v="0"/>
    <d v="2022-02-25T00:00:00"/>
    <x v="0"/>
    <n v="338876"/>
    <n v="4"/>
    <n v="2.5"/>
    <n v="2612"/>
    <s v="No"/>
    <x v="0"/>
    <n v="129.73813169984686"/>
  </r>
  <r>
    <s v="P015086"/>
    <x v="0"/>
    <x v="0"/>
    <x v="0"/>
    <d v="2022-03-17T00:00:00"/>
    <x v="0"/>
    <n v="398000"/>
    <n v="4"/>
    <n v="2.5"/>
    <n v="2620"/>
    <s v="No"/>
    <x v="0"/>
    <n v="151.90839694656489"/>
  </r>
  <r>
    <s v="P015087"/>
    <x v="1"/>
    <x v="0"/>
    <x v="0"/>
    <d v="2022-05-05T00:00:00"/>
    <x v="29"/>
    <n v="229500"/>
    <n v="4"/>
    <n v="3"/>
    <n v="2041"/>
    <s v="No"/>
    <x v="1"/>
    <n v="112.44487996080353"/>
  </r>
  <r>
    <s v="P015088"/>
    <x v="2"/>
    <x v="0"/>
    <x v="2"/>
    <d v="2022-08-25T00:00:00"/>
    <x v="0"/>
    <n v="365000"/>
    <n v="5"/>
    <n v="3"/>
    <n v="3938"/>
    <s v="No"/>
    <x v="0"/>
    <n v="92.686642965972581"/>
  </r>
  <r>
    <s v="P015089"/>
    <x v="2"/>
    <x v="0"/>
    <x v="0"/>
    <d v="2022-02-19T00:00:00"/>
    <x v="30"/>
    <n v="204900"/>
    <n v="3"/>
    <n v="2.5"/>
    <n v="1630"/>
    <s v="No"/>
    <x v="1"/>
    <n v="125.70552147239263"/>
  </r>
  <r>
    <s v="P015090"/>
    <x v="0"/>
    <x v="1"/>
    <x v="3"/>
    <d v="2022-03-31T00:00:00"/>
    <x v="0"/>
    <n v="309900"/>
    <n v="5"/>
    <n v="3"/>
    <n v="2447"/>
    <s v="Yes"/>
    <x v="0"/>
    <n v="126.64487127094401"/>
  </r>
  <r>
    <s v="P015091"/>
    <x v="0"/>
    <x v="1"/>
    <x v="2"/>
    <d v="2022-03-07T00:00:00"/>
    <x v="0"/>
    <n v="264900"/>
    <n v="3"/>
    <n v="3"/>
    <n v="2495"/>
    <s v="No"/>
    <x v="0"/>
    <n v="106.17234468937876"/>
  </r>
  <r>
    <s v="P015092"/>
    <x v="1"/>
    <x v="0"/>
    <x v="0"/>
    <d v="2022-04-30T00:00:00"/>
    <x v="0"/>
    <n v="625000"/>
    <n v="6"/>
    <n v="4"/>
    <n v="3950"/>
    <s v="Yes"/>
    <x v="0"/>
    <n v="158.22784810126583"/>
  </r>
  <r>
    <s v="P015093"/>
    <x v="1"/>
    <x v="0"/>
    <x v="0"/>
    <d v="2022-10-02T00:00:00"/>
    <x v="0"/>
    <n v="227500"/>
    <n v="4"/>
    <n v="3"/>
    <n v="1990"/>
    <s v="Yes"/>
    <x v="0"/>
    <n v="114.321608040201"/>
  </r>
  <r>
    <s v="P015094"/>
    <x v="0"/>
    <x v="1"/>
    <x v="0"/>
    <d v="2022-07-27T00:00:00"/>
    <x v="0"/>
    <n v="359900"/>
    <n v="3"/>
    <n v="2"/>
    <n v="2198"/>
    <s v="Yes"/>
    <x v="0"/>
    <n v="163.73976342129208"/>
  </r>
  <r>
    <s v="P015095"/>
    <x v="0"/>
    <x v="1"/>
    <x v="0"/>
    <d v="2022-05-07T00:00:00"/>
    <x v="31"/>
    <n v="359900"/>
    <n v="3"/>
    <n v="3"/>
    <n v="1839"/>
    <s v="No"/>
    <x v="1"/>
    <n v="195.70418705818381"/>
  </r>
  <r>
    <s v="P015096"/>
    <x v="2"/>
    <x v="1"/>
    <x v="5"/>
    <d v="2022-09-23T00:00:00"/>
    <x v="0"/>
    <n v="235990"/>
    <n v="5"/>
    <n v="3"/>
    <n v="2723"/>
    <s v="No"/>
    <x v="0"/>
    <n v="86.665442526625043"/>
  </r>
  <r>
    <s v="P015097"/>
    <x v="1"/>
    <x v="0"/>
    <x v="5"/>
    <d v="2022-03-09T00:00:00"/>
    <x v="32"/>
    <n v="235910"/>
    <n v="4"/>
    <n v="3"/>
    <n v="2285"/>
    <s v="Yes"/>
    <x v="1"/>
    <n v="103.24288840262582"/>
  </r>
  <r>
    <s v="P015098"/>
    <x v="1"/>
    <x v="0"/>
    <x v="4"/>
    <d v="2022-10-04T00:00:00"/>
    <x v="0"/>
    <n v="345000"/>
    <n v="3"/>
    <n v="2"/>
    <n v="2694"/>
    <s v="No"/>
    <x v="0"/>
    <n v="128.06236080178175"/>
  </r>
  <r>
    <s v="P015099"/>
    <x v="1"/>
    <x v="0"/>
    <x v="0"/>
    <d v="2022-06-02T00:00:00"/>
    <x v="0"/>
    <n v="389500"/>
    <n v="4"/>
    <n v="2"/>
    <n v="1971"/>
    <s v="No"/>
    <x v="0"/>
    <n v="197.6154236428209"/>
  </r>
  <r>
    <s v="P015100"/>
    <x v="1"/>
    <x v="0"/>
    <x v="0"/>
    <d v="2022-10-07T00:00:00"/>
    <x v="0"/>
    <n v="243000"/>
    <n v="4"/>
    <n v="2.5"/>
    <n v="1914"/>
    <s v="No"/>
    <x v="0"/>
    <n v="126.95924764890282"/>
  </r>
  <r>
    <s v="P015101"/>
    <x v="1"/>
    <x v="0"/>
    <x v="0"/>
    <d v="2022-04-24T00:00:00"/>
    <x v="0"/>
    <n v="250000"/>
    <n v="3"/>
    <n v="2"/>
    <n v="2066"/>
    <s v="No"/>
    <x v="0"/>
    <n v="121.00677637947724"/>
  </r>
  <r>
    <s v="P015102"/>
    <x v="0"/>
    <x v="1"/>
    <x v="0"/>
    <d v="2022-06-19T00:00:00"/>
    <x v="0"/>
    <n v="355000"/>
    <n v="4"/>
    <n v="2.5"/>
    <n v="2647"/>
    <s v="Yes"/>
    <x v="0"/>
    <n v="134.11409142425387"/>
  </r>
  <r>
    <s v="P015103"/>
    <x v="0"/>
    <x v="0"/>
    <x v="2"/>
    <d v="2022-03-28T00:00:00"/>
    <x v="0"/>
    <n v="799000"/>
    <n v="6"/>
    <n v="5"/>
    <n v="4800"/>
    <s v="No"/>
    <x v="0"/>
    <n v="166.45833333333334"/>
  </r>
  <r>
    <s v="P015104"/>
    <x v="0"/>
    <x v="0"/>
    <x v="2"/>
    <d v="2022-06-24T00:00:00"/>
    <x v="0"/>
    <n v="229500"/>
    <n v="6"/>
    <n v="3"/>
    <n v="2700"/>
    <s v="Yes"/>
    <x v="0"/>
    <n v="85"/>
  </r>
  <r>
    <s v="P015105"/>
    <x v="2"/>
    <x v="0"/>
    <x v="0"/>
    <d v="2022-06-28T00:00:00"/>
    <x v="0"/>
    <n v="239900"/>
    <n v="4"/>
    <n v="3"/>
    <n v="2260"/>
    <s v="No"/>
    <x v="0"/>
    <n v="106.15044247787611"/>
  </r>
  <r>
    <s v="P015106"/>
    <x v="1"/>
    <x v="0"/>
    <x v="0"/>
    <d v="2022-08-20T00:00:00"/>
    <x v="0"/>
    <n v="339900"/>
    <n v="4"/>
    <n v="2"/>
    <n v="2238"/>
    <s v="No"/>
    <x v="0"/>
    <n v="151.87667560321717"/>
  </r>
  <r>
    <s v="P015107"/>
    <x v="0"/>
    <x v="1"/>
    <x v="1"/>
    <d v="2022-05-17T00:00:00"/>
    <x v="33"/>
    <n v="349000"/>
    <n v="4"/>
    <n v="2.5"/>
    <n v="2730"/>
    <s v="Yes"/>
    <x v="1"/>
    <n v="127.83882783882784"/>
  </r>
  <r>
    <s v="P015108"/>
    <x v="1"/>
    <x v="0"/>
    <x v="0"/>
    <d v="2022-06-08T00:00:00"/>
    <x v="34"/>
    <n v="325000"/>
    <n v="3"/>
    <n v="2.5"/>
    <n v="1752"/>
    <s v="No"/>
    <x v="1"/>
    <n v="185.50228310502283"/>
  </r>
  <r>
    <s v="P015109"/>
    <x v="1"/>
    <x v="0"/>
    <x v="5"/>
    <d v="2022-08-22T00:00:00"/>
    <x v="0"/>
    <n v="225911"/>
    <n v="4"/>
    <n v="3"/>
    <n v="2285"/>
    <s v="Yes"/>
    <x v="0"/>
    <n v="98.866958424507658"/>
  </r>
  <r>
    <s v="P015110"/>
    <x v="1"/>
    <x v="0"/>
    <x v="0"/>
    <d v="2022-11-18T00:00:00"/>
    <x v="35"/>
    <n v="375000"/>
    <n v="4"/>
    <n v="3"/>
    <n v="2368"/>
    <s v="Yes"/>
    <x v="1"/>
    <n v="158.36148648648648"/>
  </r>
  <r>
    <s v="P015111"/>
    <x v="1"/>
    <x v="0"/>
    <x v="0"/>
    <d v="2022-08-12T00:00:00"/>
    <x v="0"/>
    <n v="214500"/>
    <n v="4"/>
    <n v="2.5"/>
    <n v="1862"/>
    <s v="Yes"/>
    <x v="0"/>
    <n v="115.19871106337271"/>
  </r>
  <r>
    <s v="P015112"/>
    <x v="0"/>
    <x v="0"/>
    <x v="1"/>
    <d v="2022-04-08T00:00:00"/>
    <x v="36"/>
    <n v="339900"/>
    <n v="3"/>
    <n v="2"/>
    <n v="1828"/>
    <s v="Yes"/>
    <x v="1"/>
    <n v="185.94091903719914"/>
  </r>
  <r>
    <s v="P015113"/>
    <x v="0"/>
    <x v="0"/>
    <x v="2"/>
    <d v="2022-07-08T00:00:00"/>
    <x v="0"/>
    <n v="374900"/>
    <n v="4"/>
    <n v="3"/>
    <n v="3927"/>
    <s v="No"/>
    <x v="0"/>
    <n v="95.467277820218996"/>
  </r>
  <r>
    <s v="P015114"/>
    <x v="1"/>
    <x v="0"/>
    <x v="2"/>
    <d v="2022-05-17T00:00:00"/>
    <x v="37"/>
    <n v="285000"/>
    <n v="2"/>
    <n v="1"/>
    <n v="2036"/>
    <s v="No"/>
    <x v="1"/>
    <n v="139.9803536345776"/>
  </r>
  <r>
    <s v="P015115"/>
    <x v="1"/>
    <x v="0"/>
    <x v="3"/>
    <d v="2022-05-02T00:00:00"/>
    <x v="0"/>
    <n v="549000"/>
    <n v="4"/>
    <n v="3"/>
    <n v="1940"/>
    <s v="Yes"/>
    <x v="0"/>
    <n v="282.98969072164948"/>
  </r>
  <r>
    <s v="P015116"/>
    <x v="2"/>
    <x v="0"/>
    <x v="0"/>
    <d v="2022-08-01T00:00:00"/>
    <x v="38"/>
    <n v="249900"/>
    <n v="3"/>
    <n v="2"/>
    <n v="2050"/>
    <s v="No"/>
    <x v="1"/>
    <n v="121.90243902439025"/>
  </r>
  <r>
    <s v="P015117"/>
    <x v="1"/>
    <x v="0"/>
    <x v="0"/>
    <d v="2022-08-27T00:00:00"/>
    <x v="0"/>
    <n v="149900"/>
    <n v="2"/>
    <n v="1"/>
    <n v="1234"/>
    <s v="No"/>
    <x v="0"/>
    <n v="121.47487844408428"/>
  </r>
  <r>
    <s v="P015118"/>
    <x v="1"/>
    <x v="0"/>
    <x v="0"/>
    <d v="2022-03-17T00:00:00"/>
    <x v="30"/>
    <n v="215000"/>
    <n v="3"/>
    <n v="1.75"/>
    <n v="2157"/>
    <s v="Yes"/>
    <x v="1"/>
    <n v="99.67547519703291"/>
  </r>
  <r>
    <s v="P015119"/>
    <x v="1"/>
    <x v="0"/>
    <x v="2"/>
    <d v="2022-07-01T00:00:00"/>
    <x v="39"/>
    <n v="309950"/>
    <n v="4"/>
    <n v="3"/>
    <n v="2800"/>
    <s v="No"/>
    <x v="1"/>
    <n v="110.69642857142857"/>
  </r>
  <r>
    <s v="P015120"/>
    <x v="1"/>
    <x v="0"/>
    <x v="0"/>
    <d v="2022-07-25T00:00:00"/>
    <x v="0"/>
    <n v="309950"/>
    <n v="4"/>
    <n v="3"/>
    <n v="2800"/>
    <s v="Yes"/>
    <x v="0"/>
    <n v="110.69642857142857"/>
  </r>
  <r>
    <s v="P015121"/>
    <x v="0"/>
    <x v="1"/>
    <x v="0"/>
    <d v="2022-04-26T00:00:00"/>
    <x v="0"/>
    <n v="369900"/>
    <n v="3"/>
    <n v="2.5"/>
    <n v="2030"/>
    <s v="Yes"/>
    <x v="0"/>
    <n v="182.21674876847291"/>
  </r>
  <r>
    <s v="P015122"/>
    <x v="1"/>
    <x v="0"/>
    <x v="3"/>
    <d v="2022-05-12T00:00:00"/>
    <x v="40"/>
    <n v="335000"/>
    <n v="3"/>
    <n v="2.5"/>
    <n v="2000"/>
    <s v="Yes"/>
    <x v="1"/>
    <n v="167.5"/>
  </r>
  <r>
    <s v="P015123"/>
    <x v="2"/>
    <x v="0"/>
    <x v="0"/>
    <d v="2022-04-20T00:00:00"/>
    <x v="41"/>
    <n v="304900"/>
    <n v="4"/>
    <n v="3"/>
    <n v="2350"/>
    <s v="No"/>
    <x v="1"/>
    <n v="129.74468085106383"/>
  </r>
  <r>
    <s v="P015124"/>
    <x v="2"/>
    <x v="0"/>
    <x v="0"/>
    <d v="2022-03-15T00:00:00"/>
    <x v="0"/>
    <n v="205000"/>
    <n v="3"/>
    <n v="2.5"/>
    <n v="2001"/>
    <s v="Yes"/>
    <x v="0"/>
    <n v="102.4487756121939"/>
  </r>
  <r>
    <s v="P015125"/>
    <x v="1"/>
    <x v="1"/>
    <x v="2"/>
    <d v="2022-05-26T00:00:00"/>
    <x v="0"/>
    <n v="119000"/>
    <n v="1"/>
    <n v="1"/>
    <n v="950"/>
    <s v="No"/>
    <x v="0"/>
    <n v="125.263157894736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C69282-7F36-4F52-998A-1F51C37B1F43}" name="Agent Wise revenu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Month">
  <location ref="A62:B69" firstHeaderRow="1" firstDataRow="2" firstDataCol="1"/>
  <pivotFields count="16">
    <pivotField showAll="0"/>
    <pivotField showAll="0">
      <items count="4">
        <item x="1"/>
        <item x="0"/>
        <item x="2"/>
        <item t="default"/>
      </items>
    </pivotField>
    <pivotField showAll="0">
      <items count="3">
        <item x="1"/>
        <item x="0"/>
        <item t="default"/>
      </items>
    </pivotField>
    <pivotField axis="axisRow" showAll="0">
      <items count="7">
        <item x="2"/>
        <item x="1"/>
        <item x="4"/>
        <item x="5"/>
        <item x="3"/>
        <item x="0"/>
        <item t="default"/>
      </items>
    </pivotField>
    <pivotField numFmtId="14" showAll="0"/>
    <pivotField showAll="0">
      <items count="43">
        <item x="18"/>
        <item x="9"/>
        <item x="14"/>
        <item x="16"/>
        <item x="25"/>
        <item x="8"/>
        <item x="29"/>
        <item x="26"/>
        <item x="37"/>
        <item x="39"/>
        <item x="31"/>
        <item x="33"/>
        <item x="36"/>
        <item x="27"/>
        <item x="10"/>
        <item x="15"/>
        <item x="12"/>
        <item x="13"/>
        <item x="23"/>
        <item x="30"/>
        <item x="40"/>
        <item x="32"/>
        <item x="11"/>
        <item x="21"/>
        <item x="17"/>
        <item x="22"/>
        <item x="7"/>
        <item x="1"/>
        <item x="19"/>
        <item x="41"/>
        <item x="24"/>
        <item x="34"/>
        <item x="2"/>
        <item x="38"/>
        <item x="6"/>
        <item x="28"/>
        <item x="3"/>
        <item x="5"/>
        <item x="35"/>
        <item x="4"/>
        <item x="20"/>
        <item x="0"/>
        <item t="default"/>
      </items>
    </pivotField>
    <pivotField dataField="1" numFmtId="167" showAll="0"/>
    <pivotField showAll="0"/>
    <pivotField showAll="0"/>
    <pivotField numFmtId="3" showAll="0"/>
    <pivotField showAll="0"/>
    <pivotField axis="axisCol" showAll="0">
      <items count="3">
        <item h="1" x="0"/>
        <item x="1"/>
        <item t="default"/>
      </items>
    </pivotField>
    <pivotField numFmtId="167"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6">
    <i>
      <x/>
    </i>
    <i>
      <x v="1"/>
    </i>
    <i>
      <x v="2"/>
    </i>
    <i>
      <x v="3"/>
    </i>
    <i>
      <x v="4"/>
    </i>
    <i>
      <x v="5"/>
    </i>
  </rowItems>
  <colFields count="1">
    <field x="11"/>
  </colFields>
  <colItems count="1">
    <i>
      <x v="1"/>
    </i>
  </colItems>
  <dataFields count="1">
    <dataField name="Total Revenue Generated" fld="6" baseField="0" baseItem="0" numFmtId="167"/>
  </dataFields>
  <chartFormats count="7">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3" count="1" selected="0">
            <x v="0"/>
          </reference>
        </references>
      </pivotArea>
    </chartFormat>
    <chartFormat chart="7" format="10">
      <pivotArea type="data" outline="0" fieldPosition="0">
        <references count="2">
          <reference field="4294967294" count="1" selected="0">
            <x v="0"/>
          </reference>
          <reference field="3" count="1" selected="0">
            <x v="1"/>
          </reference>
        </references>
      </pivotArea>
    </chartFormat>
    <chartFormat chart="7" format="11">
      <pivotArea type="data" outline="0" fieldPosition="0">
        <references count="2">
          <reference field="4294967294" count="1" selected="0">
            <x v="0"/>
          </reference>
          <reference field="3" count="1" selected="0">
            <x v="2"/>
          </reference>
        </references>
      </pivotArea>
    </chartFormat>
    <chartFormat chart="7" format="12">
      <pivotArea type="data" outline="0" fieldPosition="0">
        <references count="2">
          <reference field="4294967294" count="1" selected="0">
            <x v="0"/>
          </reference>
          <reference field="3" count="1" selected="0">
            <x v="3"/>
          </reference>
        </references>
      </pivotArea>
    </chartFormat>
    <chartFormat chart="7" format="13">
      <pivotArea type="data" outline="0" fieldPosition="0">
        <references count="2">
          <reference field="4294967294" count="1" selected="0">
            <x v="0"/>
          </reference>
          <reference field="3" count="1" selected="0">
            <x v="4"/>
          </reference>
        </references>
      </pivotArea>
    </chartFormat>
    <chartFormat chart="7"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A5230B-D5B9-4AA1-AA26-862D67F88D60}" name="Agent wise property sol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Area">
  <location ref="A17:C24" firstHeaderRow="1" firstDataRow="2" firstDataCol="1"/>
  <pivotFields count="16">
    <pivotField dataField="1" showAll="0"/>
    <pivotField showAll="0">
      <items count="4">
        <item x="1"/>
        <item x="0"/>
        <item x="2"/>
        <item t="default"/>
      </items>
    </pivotField>
    <pivotField showAll="0"/>
    <pivotField axis="axisRow" showAll="0">
      <items count="7">
        <item x="2"/>
        <item x="1"/>
        <item x="4"/>
        <item x="5"/>
        <item x="3"/>
        <item x="0"/>
        <item t="default"/>
      </items>
    </pivotField>
    <pivotField numFmtId="14" showAll="0"/>
    <pivotField showAll="0">
      <items count="43">
        <item x="18"/>
        <item x="9"/>
        <item x="14"/>
        <item x="16"/>
        <item x="25"/>
        <item x="8"/>
        <item x="29"/>
        <item x="26"/>
        <item x="37"/>
        <item x="39"/>
        <item x="31"/>
        <item x="33"/>
        <item x="36"/>
        <item x="27"/>
        <item x="10"/>
        <item x="15"/>
        <item x="12"/>
        <item x="13"/>
        <item x="23"/>
        <item x="30"/>
        <item x="40"/>
        <item x="32"/>
        <item x="11"/>
        <item x="21"/>
        <item x="17"/>
        <item x="22"/>
        <item x="7"/>
        <item x="1"/>
        <item x="19"/>
        <item x="41"/>
        <item x="24"/>
        <item x="34"/>
        <item x="2"/>
        <item x="38"/>
        <item x="6"/>
        <item x="28"/>
        <item x="3"/>
        <item x="5"/>
        <item x="35"/>
        <item x="4"/>
        <item x="20"/>
        <item x="0"/>
        <item t="default"/>
      </items>
    </pivotField>
    <pivotField numFmtId="167" showAll="0"/>
    <pivotField showAll="0"/>
    <pivotField showAll="0"/>
    <pivotField numFmtId="3" showAll="0"/>
    <pivotField showAll="0"/>
    <pivotField axis="axisCol" showAll="0" sortType="descending">
      <items count="3">
        <item x="1"/>
        <item x="0"/>
        <item t="default"/>
      </items>
    </pivotField>
    <pivotField numFmtId="16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x v="5"/>
    </i>
  </rowItems>
  <colFields count="1">
    <field x="11"/>
  </colFields>
  <colItems count="2">
    <i>
      <x/>
    </i>
    <i>
      <x v="1"/>
    </i>
  </colItems>
  <dataFields count="1">
    <dataField name="Count of PropertyID" fld="0" subtotal="count" showDataAs="percentOfRow" baseField="3" baseItem="0" numFmtId="10"/>
  </dataFields>
  <chartFormats count="6">
    <chartFormat chart="3" format="2" series="1">
      <pivotArea type="data" outline="0" fieldPosition="0">
        <references count="2">
          <reference field="4294967294" count="1" selected="0">
            <x v="0"/>
          </reference>
          <reference field="11" count="1" selected="0">
            <x v="0"/>
          </reference>
        </references>
      </pivotArea>
    </chartFormat>
    <chartFormat chart="3" format="3" series="1">
      <pivotArea type="data" outline="0" fieldPosition="0">
        <references count="2">
          <reference field="4294967294" count="1" selected="0">
            <x v="0"/>
          </reference>
          <reference field="11" count="1" selected="0">
            <x v="1"/>
          </reference>
        </references>
      </pivotArea>
    </chartFormat>
    <chartFormat chart="4" format="4" series="1">
      <pivotArea type="data" outline="0" fieldPosition="0">
        <references count="2">
          <reference field="4294967294" count="1" selected="0">
            <x v="0"/>
          </reference>
          <reference field="11" count="1" selected="0">
            <x v="0"/>
          </reference>
        </references>
      </pivotArea>
    </chartFormat>
    <chartFormat chart="4" format="5" series="1">
      <pivotArea type="data" outline="0" fieldPosition="0">
        <references count="2">
          <reference field="4294967294" count="1" selected="0">
            <x v="0"/>
          </reference>
          <reference field="11" count="1" selected="0">
            <x v="1"/>
          </reference>
        </references>
      </pivotArea>
    </chartFormat>
    <chartFormat chart="5" format="4" series="1">
      <pivotArea type="data" outline="0" fieldPosition="0">
        <references count="2">
          <reference field="4294967294" count="1" selected="0">
            <x v="0"/>
          </reference>
          <reference field="11" count="1" selected="0">
            <x v="0"/>
          </reference>
        </references>
      </pivotArea>
    </chartFormat>
    <chartFormat chart="5"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E1BE3E-ADC2-4F99-9E46-D77E5B9FD369}" name="Monthly 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
  <location ref="A27:C41" firstHeaderRow="1" firstDataRow="2" firstDataCol="1"/>
  <pivotFields count="16">
    <pivotField dataField="1" showAll="0"/>
    <pivotField showAll="0">
      <items count="4">
        <item x="1"/>
        <item x="0"/>
        <item x="2"/>
        <item t="default"/>
      </items>
    </pivotField>
    <pivotField showAll="0"/>
    <pivotField showAll="0"/>
    <pivotField numFmtId="14" showAll="0"/>
    <pivotField showAll="0">
      <items count="43">
        <item x="18"/>
        <item x="9"/>
        <item x="14"/>
        <item x="16"/>
        <item x="25"/>
        <item x="8"/>
        <item x="29"/>
        <item x="26"/>
        <item x="37"/>
        <item x="39"/>
        <item x="31"/>
        <item x="33"/>
        <item x="36"/>
        <item x="27"/>
        <item x="10"/>
        <item x="15"/>
        <item x="12"/>
        <item x="13"/>
        <item x="23"/>
        <item x="30"/>
        <item x="40"/>
        <item x="32"/>
        <item x="11"/>
        <item x="21"/>
        <item x="17"/>
        <item x="22"/>
        <item x="7"/>
        <item x="1"/>
        <item x="19"/>
        <item x="41"/>
        <item x="24"/>
        <item x="34"/>
        <item x="2"/>
        <item x="38"/>
        <item x="6"/>
        <item x="28"/>
        <item x="3"/>
        <item x="5"/>
        <item x="35"/>
        <item x="4"/>
        <item x="20"/>
        <item x="0"/>
        <item t="default"/>
      </items>
    </pivotField>
    <pivotField numFmtId="167" showAll="0"/>
    <pivotField showAll="0"/>
    <pivotField showAll="0"/>
    <pivotField numFmtId="3" showAll="0"/>
    <pivotField showAll="0"/>
    <pivotField axis="axisCol" showAll="0">
      <items count="3">
        <item h="1" x="0"/>
        <item x="1"/>
        <item t="default"/>
      </items>
    </pivotField>
    <pivotField numFmtId="167"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13">
    <i>
      <x v="1"/>
    </i>
    <i>
      <x v="2"/>
    </i>
    <i>
      <x v="3"/>
    </i>
    <i>
      <x v="4"/>
    </i>
    <i>
      <x v="5"/>
    </i>
    <i>
      <x v="6"/>
    </i>
    <i>
      <x v="7"/>
    </i>
    <i>
      <x v="8"/>
    </i>
    <i>
      <x v="9"/>
    </i>
    <i>
      <x v="10"/>
    </i>
    <i>
      <x v="11"/>
    </i>
    <i>
      <x v="12"/>
    </i>
    <i t="grand">
      <x/>
    </i>
  </rowItems>
  <colFields count="1">
    <field x="11"/>
  </colFields>
  <colItems count="2">
    <i>
      <x v="1"/>
    </i>
    <i t="grand">
      <x/>
    </i>
  </colItems>
  <dataFields count="1">
    <dataField name="Count of PropertyID" fld="0" subtotal="count" baseField="0" baseItem="0"/>
  </dataFields>
  <chartFormats count="1">
    <chartFormat chart="7" format="2"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FB8051-B733-4C57-ADD3-29A7E3C15DED}" name="Year-wise revenu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Month">
  <location ref="A73:B77" firstHeaderRow="1" firstDataRow="2" firstDataCol="1"/>
  <pivotFields count="16">
    <pivotField showAll="0"/>
    <pivotField showAll="0">
      <items count="4">
        <item x="1"/>
        <item x="0"/>
        <item x="2"/>
        <item t="default"/>
      </items>
    </pivotField>
    <pivotField showAll="0">
      <items count="3">
        <item x="1"/>
        <item x="0"/>
        <item t="default"/>
      </items>
    </pivotField>
    <pivotField showAll="0">
      <items count="7">
        <item x="2"/>
        <item x="1"/>
        <item x="4"/>
        <item x="5"/>
        <item x="3"/>
        <item x="0"/>
        <item t="default"/>
      </items>
    </pivotField>
    <pivotField numFmtId="14" showAll="0"/>
    <pivotField showAll="0">
      <items count="43">
        <item x="18"/>
        <item x="9"/>
        <item x="14"/>
        <item x="16"/>
        <item x="25"/>
        <item x="8"/>
        <item x="29"/>
        <item x="26"/>
        <item x="37"/>
        <item x="39"/>
        <item x="31"/>
        <item x="33"/>
        <item x="36"/>
        <item x="27"/>
        <item x="10"/>
        <item x="15"/>
        <item x="12"/>
        <item x="13"/>
        <item x="23"/>
        <item x="30"/>
        <item x="40"/>
        <item x="32"/>
        <item x="11"/>
        <item x="21"/>
        <item x="17"/>
        <item x="22"/>
        <item x="7"/>
        <item x="1"/>
        <item x="19"/>
        <item x="41"/>
        <item x="24"/>
        <item x="34"/>
        <item x="2"/>
        <item x="38"/>
        <item x="6"/>
        <item x="28"/>
        <item x="3"/>
        <item x="5"/>
        <item x="35"/>
        <item x="4"/>
        <item x="20"/>
        <item x="0"/>
        <item t="default"/>
      </items>
    </pivotField>
    <pivotField dataField="1" numFmtId="167" showAll="0"/>
    <pivotField showAll="0"/>
    <pivotField showAll="0"/>
    <pivotField numFmtId="3" showAll="0"/>
    <pivotField showAll="0"/>
    <pivotField axis="axisCol" showAll="0">
      <items count="3">
        <item h="1" x="0"/>
        <item x="1"/>
        <item t="default"/>
      </items>
    </pivotField>
    <pivotField numFmtId="167"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5"/>
  </rowFields>
  <rowItems count="3">
    <i>
      <x v="1"/>
    </i>
    <i>
      <x v="2"/>
    </i>
    <i>
      <x v="3"/>
    </i>
  </rowItems>
  <colFields count="1">
    <field x="11"/>
  </colFields>
  <colItems count="1">
    <i>
      <x v="1"/>
    </i>
  </colItems>
  <dataFields count="1">
    <dataField name="Total Revenue Generated" fld="6" baseField="0" baseItem="0" numFmtId="167"/>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5" count="1" selected="0">
            <x v="1"/>
          </reference>
        </references>
      </pivotArea>
    </chartFormat>
    <chartFormat chart="7" format="7">
      <pivotArea type="data" outline="0" fieldPosition="0">
        <references count="2">
          <reference field="4294967294" count="1" selected="0">
            <x v="0"/>
          </reference>
          <reference field="15" count="1" selected="0">
            <x v="2"/>
          </reference>
        </references>
      </pivotArea>
    </chartFormat>
    <chartFormat chart="7" format="8">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65853F-8C11-428A-98E5-FE584EC7D5DF}" name="Type wise revenue regenerate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Month">
  <location ref="A45:C48" firstHeaderRow="1" firstDataRow="2" firstDataCol="1"/>
  <pivotFields count="16">
    <pivotField dataField="1" showAll="0"/>
    <pivotField showAll="0">
      <items count="4">
        <item x="1"/>
        <item x="0"/>
        <item x="2"/>
        <item t="default"/>
      </items>
    </pivotField>
    <pivotField axis="axisRow" showAll="0">
      <items count="3">
        <item x="1"/>
        <item x="0"/>
        <item t="default"/>
      </items>
    </pivotField>
    <pivotField showAll="0">
      <items count="7">
        <item x="2"/>
        <item x="1"/>
        <item x="4"/>
        <item x="5"/>
        <item x="3"/>
        <item x="0"/>
        <item t="default"/>
      </items>
    </pivotField>
    <pivotField numFmtId="14" showAll="0"/>
    <pivotField showAll="0">
      <items count="43">
        <item x="18"/>
        <item x="9"/>
        <item x="14"/>
        <item x="16"/>
        <item x="25"/>
        <item x="8"/>
        <item x="29"/>
        <item x="26"/>
        <item x="37"/>
        <item x="39"/>
        <item x="31"/>
        <item x="33"/>
        <item x="36"/>
        <item x="27"/>
        <item x="10"/>
        <item x="15"/>
        <item x="12"/>
        <item x="13"/>
        <item x="23"/>
        <item x="30"/>
        <item x="40"/>
        <item x="32"/>
        <item x="11"/>
        <item x="21"/>
        <item x="17"/>
        <item x="22"/>
        <item x="7"/>
        <item x="1"/>
        <item x="19"/>
        <item x="41"/>
        <item x="24"/>
        <item x="34"/>
        <item x="2"/>
        <item x="38"/>
        <item x="6"/>
        <item x="28"/>
        <item x="3"/>
        <item x="5"/>
        <item x="35"/>
        <item x="4"/>
        <item x="20"/>
        <item x="0"/>
        <item t="default"/>
      </items>
    </pivotField>
    <pivotField numFmtId="167" showAll="0"/>
    <pivotField showAll="0"/>
    <pivotField showAll="0"/>
    <pivotField numFmtId="3" showAll="0"/>
    <pivotField showAll="0"/>
    <pivotField axis="axisCol" showAll="0">
      <items count="3">
        <item x="0"/>
        <item x="1"/>
        <item t="default"/>
      </items>
    </pivotField>
    <pivotField numFmtId="167"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2">
    <i>
      <x/>
    </i>
    <i>
      <x v="1"/>
    </i>
  </rowItems>
  <colFields count="1">
    <field x="11"/>
  </colFields>
  <colItems count="2">
    <i>
      <x/>
    </i>
    <i>
      <x v="1"/>
    </i>
  </colItems>
  <dataFields count="1">
    <dataField name="Count of PropertyID" fld="0" subtotal="count" baseField="0" baseItem="0"/>
  </dataFields>
  <chartFormats count="3">
    <chartFormat chart="8" format="4" series="1">
      <pivotArea type="data" outline="0" fieldPosition="0">
        <references count="2">
          <reference field="4294967294" count="1" selected="0">
            <x v="0"/>
          </reference>
          <reference field="11" count="1" selected="0">
            <x v="0"/>
          </reference>
        </references>
      </pivotArea>
    </chartFormat>
    <chartFormat chart="8" format="5" series="1">
      <pivotArea type="data" outline="0" fieldPosition="0">
        <references count="2">
          <reference field="4294967294" count="1" selected="0">
            <x v="0"/>
          </reference>
          <reference field="11" count="1" selected="0">
            <x v="1"/>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C7E7F8-6168-4B70-9539-0CDCA913FF43}" name="Property Type-wise 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Month">
  <location ref="A82:B85" firstHeaderRow="1" firstDataRow="2" firstDataCol="1"/>
  <pivotFields count="16">
    <pivotField showAll="0"/>
    <pivotField showAll="0"/>
    <pivotField axis="axisRow" showAll="0">
      <items count="3">
        <item x="1"/>
        <item x="0"/>
        <item t="default"/>
      </items>
    </pivotField>
    <pivotField showAll="0">
      <items count="7">
        <item x="2"/>
        <item x="1"/>
        <item x="4"/>
        <item x="5"/>
        <item x="3"/>
        <item x="0"/>
        <item t="default"/>
      </items>
    </pivotField>
    <pivotField numFmtId="14" showAll="0"/>
    <pivotField showAll="0">
      <items count="43">
        <item x="18"/>
        <item x="9"/>
        <item x="14"/>
        <item x="16"/>
        <item x="25"/>
        <item x="8"/>
        <item x="29"/>
        <item x="26"/>
        <item x="37"/>
        <item x="39"/>
        <item x="31"/>
        <item x="33"/>
        <item x="36"/>
        <item x="27"/>
        <item x="10"/>
        <item x="15"/>
        <item x="12"/>
        <item x="13"/>
        <item x="23"/>
        <item x="30"/>
        <item x="40"/>
        <item x="32"/>
        <item x="11"/>
        <item x="21"/>
        <item x="17"/>
        <item x="22"/>
        <item x="7"/>
        <item x="1"/>
        <item x="19"/>
        <item x="41"/>
        <item x="24"/>
        <item x="34"/>
        <item x="2"/>
        <item x="38"/>
        <item x="6"/>
        <item x="28"/>
        <item x="3"/>
        <item x="5"/>
        <item x="35"/>
        <item x="4"/>
        <item x="20"/>
        <item x="0"/>
        <item t="default"/>
      </items>
    </pivotField>
    <pivotField dataField="1" numFmtId="167" showAll="0"/>
    <pivotField showAll="0"/>
    <pivotField showAll="0"/>
    <pivotField numFmtId="3" showAll="0"/>
    <pivotField showAll="0"/>
    <pivotField axis="axisCol" showAll="0">
      <items count="3">
        <item h="1" x="0"/>
        <item x="1"/>
        <item t="default"/>
      </items>
    </pivotField>
    <pivotField numFmtId="167"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2">
    <i>
      <x/>
    </i>
    <i>
      <x v="1"/>
    </i>
  </rowItems>
  <colFields count="1">
    <field x="11"/>
  </colFields>
  <colItems count="1">
    <i>
      <x v="1"/>
    </i>
  </colItems>
  <dataFields count="1">
    <dataField name="Total Revenue Generated" fld="6"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6C77B6-5697-4D73-B20A-AE236EBE1E90}" name="Area wise avg pric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Area">
  <location ref="A11:B14" firstHeaderRow="1" firstDataRow="1" firstDataCol="1"/>
  <pivotFields count="16">
    <pivotField showAll="0"/>
    <pivotField axis="axisRow" showAll="0">
      <items count="4">
        <item x="1"/>
        <item x="0"/>
        <item x="2"/>
        <item t="default"/>
      </items>
    </pivotField>
    <pivotField showAll="0"/>
    <pivotField showAll="0">
      <items count="7">
        <item x="2"/>
        <item x="1"/>
        <item x="4"/>
        <item x="5"/>
        <item x="3"/>
        <item x="0"/>
        <item t="default"/>
      </items>
    </pivotField>
    <pivotField numFmtId="14" showAll="0"/>
    <pivotField showAll="0">
      <items count="43">
        <item x="18"/>
        <item x="9"/>
        <item x="14"/>
        <item x="16"/>
        <item x="25"/>
        <item x="8"/>
        <item x="29"/>
        <item x="26"/>
        <item x="37"/>
        <item x="39"/>
        <item x="31"/>
        <item x="33"/>
        <item x="36"/>
        <item x="27"/>
        <item x="10"/>
        <item x="15"/>
        <item x="12"/>
        <item x="13"/>
        <item x="23"/>
        <item x="30"/>
        <item x="40"/>
        <item x="32"/>
        <item x="11"/>
        <item x="21"/>
        <item x="17"/>
        <item x="22"/>
        <item x="7"/>
        <item x="1"/>
        <item x="19"/>
        <item x="41"/>
        <item x="24"/>
        <item x="34"/>
        <item x="2"/>
        <item x="38"/>
        <item x="6"/>
        <item x="28"/>
        <item x="3"/>
        <item x="5"/>
        <item x="35"/>
        <item x="4"/>
        <item x="20"/>
        <item x="0"/>
        <item t="default"/>
      </items>
    </pivotField>
    <pivotField numFmtId="167" showAll="0"/>
    <pivotField showAll="0"/>
    <pivotField showAll="0"/>
    <pivotField numFmtId="3" showAll="0"/>
    <pivotField showAll="0"/>
    <pivotField showAll="0"/>
    <pivotField dataField="1" numFmtId="16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3">
    <i>
      <x/>
    </i>
    <i>
      <x v="1"/>
    </i>
    <i>
      <x v="2"/>
    </i>
  </rowItems>
  <colItems count="1">
    <i/>
  </colItems>
  <dataFields count="1">
    <dataField name="Average of Price Per SqFt" fld="12" subtotal="average" baseField="1" baseItem="0" numFmtId="167"/>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C03BEE-177C-4A29-8DBA-B833E25B8A50}" name="Area wise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
  <location ref="A54:B58" firstHeaderRow="1" firstDataRow="1" firstDataCol="1" rowPageCount="1" colPageCount="1"/>
  <pivotFields count="16">
    <pivotField showAll="0"/>
    <pivotField axis="axisRow" showAll="0">
      <items count="4">
        <item x="1"/>
        <item x="0"/>
        <item x="2"/>
        <item t="default"/>
      </items>
    </pivotField>
    <pivotField showAll="0"/>
    <pivotField showAll="0">
      <items count="7">
        <item x="2"/>
        <item x="1"/>
        <item x="4"/>
        <item x="5"/>
        <item x="3"/>
        <item x="0"/>
        <item t="default"/>
      </items>
    </pivotField>
    <pivotField numFmtId="14" showAll="0"/>
    <pivotField showAll="0">
      <items count="43">
        <item x="18"/>
        <item x="9"/>
        <item x="14"/>
        <item x="16"/>
        <item x="25"/>
        <item x="8"/>
        <item x="29"/>
        <item x="26"/>
        <item x="37"/>
        <item x="39"/>
        <item x="31"/>
        <item x="33"/>
        <item x="36"/>
        <item x="27"/>
        <item x="10"/>
        <item x="15"/>
        <item x="12"/>
        <item x="13"/>
        <item x="23"/>
        <item x="30"/>
        <item x="40"/>
        <item x="32"/>
        <item x="11"/>
        <item x="21"/>
        <item x="17"/>
        <item x="22"/>
        <item x="7"/>
        <item x="1"/>
        <item x="19"/>
        <item x="41"/>
        <item x="24"/>
        <item x="34"/>
        <item x="2"/>
        <item x="38"/>
        <item x="6"/>
        <item x="28"/>
        <item x="3"/>
        <item x="5"/>
        <item x="35"/>
        <item x="4"/>
        <item x="20"/>
        <item x="0"/>
        <item t="default"/>
      </items>
    </pivotField>
    <pivotField dataField="1" numFmtId="167" showAll="0"/>
    <pivotField showAll="0"/>
    <pivotField showAll="0"/>
    <pivotField numFmtId="3" showAll="0"/>
    <pivotField showAll="0"/>
    <pivotField axis="axisPage" multipleItemSelectionAllowed="1" showAll="0">
      <items count="3">
        <item h="1" x="0"/>
        <item x="1"/>
        <item t="default"/>
      </items>
    </pivotField>
    <pivotField numFmtId="167"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i>
    <i>
      <x v="1"/>
    </i>
    <i>
      <x v="2"/>
    </i>
    <i t="grand">
      <x/>
    </i>
  </rowItems>
  <colItems count="1">
    <i/>
  </colItems>
  <pageFields count="1">
    <pageField fld="11" hier="-1"/>
  </pageFields>
  <dataFields count="1">
    <dataField name="Revenue Generated" fld="6" baseField="0" baseItem="0" numFmtId="167"/>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 count="1" selected="0">
            <x v="0"/>
          </reference>
        </references>
      </pivotArea>
    </chartFormat>
    <chartFormat chart="7" format="7">
      <pivotArea type="data" outline="0" fieldPosition="0">
        <references count="2">
          <reference field="4294967294" count="1" selected="0">
            <x v="0"/>
          </reference>
          <reference field="1" count="1" selected="0">
            <x v="1"/>
          </reference>
        </references>
      </pivotArea>
    </chartFormat>
    <chartFormat chart="7"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EC5DCC-54FD-45E8-BF6D-DC4FA4C592B2}" name="Area vs property sold"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rowHeaderCaption="Area">
  <location ref="A3:D7" firstHeaderRow="1" firstDataRow="2" firstDataCol="1"/>
  <pivotFields count="16">
    <pivotField dataField="1" showAll="0"/>
    <pivotField axis="axisRow" showAll="0">
      <items count="4">
        <item x="1"/>
        <item x="0"/>
        <item x="2"/>
        <item t="default"/>
      </items>
    </pivotField>
    <pivotField showAll="0">
      <items count="3">
        <item x="1"/>
        <item x="0"/>
        <item t="default"/>
      </items>
    </pivotField>
    <pivotField showAll="0">
      <items count="7">
        <item x="2"/>
        <item x="1"/>
        <item x="4"/>
        <item x="5"/>
        <item x="3"/>
        <item x="0"/>
        <item t="default"/>
      </items>
    </pivotField>
    <pivotField numFmtId="14" showAll="0"/>
    <pivotField showAll="0">
      <items count="43">
        <item x="18"/>
        <item x="9"/>
        <item x="14"/>
        <item x="16"/>
        <item x="25"/>
        <item x="8"/>
        <item x="29"/>
        <item x="26"/>
        <item x="37"/>
        <item x="39"/>
        <item x="31"/>
        <item x="33"/>
        <item x="36"/>
        <item x="27"/>
        <item x="10"/>
        <item x="15"/>
        <item x="12"/>
        <item x="13"/>
        <item x="23"/>
        <item x="30"/>
        <item x="40"/>
        <item x="32"/>
        <item x="11"/>
        <item x="21"/>
        <item x="17"/>
        <item x="22"/>
        <item x="7"/>
        <item x="1"/>
        <item x="19"/>
        <item x="41"/>
        <item x="24"/>
        <item x="34"/>
        <item x="2"/>
        <item x="38"/>
        <item x="6"/>
        <item x="28"/>
        <item x="3"/>
        <item x="5"/>
        <item x="35"/>
        <item x="4"/>
        <item x="20"/>
        <item x="0"/>
        <item t="default"/>
      </items>
    </pivotField>
    <pivotField numFmtId="167" showAll="0"/>
    <pivotField showAll="0"/>
    <pivotField showAll="0"/>
    <pivotField numFmtId="3" showAll="0"/>
    <pivotField showAll="0"/>
    <pivotField axis="axisCol" showAll="0">
      <items count="3">
        <item x="0"/>
        <item x="1"/>
        <item t="default"/>
      </items>
    </pivotField>
    <pivotField numFmtId="16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3">
    <i>
      <x/>
    </i>
    <i>
      <x v="1"/>
    </i>
    <i>
      <x v="2"/>
    </i>
  </rowItems>
  <colFields count="1">
    <field x="11"/>
  </colFields>
  <colItems count="3">
    <i>
      <x/>
    </i>
    <i>
      <x v="1"/>
    </i>
    <i t="grand">
      <x/>
    </i>
  </colItems>
  <dataFields count="1">
    <dataField name="Count " fld="0" subtotal="count" baseField="1" baseItem="0"/>
  </dataFields>
  <chartFormats count="2">
    <chartFormat chart="17" format="4" series="1">
      <pivotArea type="data" outline="0" fieldPosition="0">
        <references count="2">
          <reference field="4294967294" count="1" selected="0">
            <x v="0"/>
          </reference>
          <reference field="11" count="1" selected="0">
            <x v="0"/>
          </reference>
        </references>
      </pivotArea>
    </chartFormat>
    <chartFormat chart="17"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D909FC56-335E-45B0-86A9-1E56DB9F868A}" sourceName="Area">
  <pivotTables>
    <pivotTable tabId="36" name="Area vs property sold"/>
    <pivotTable tabId="36" name="Agent Wise revenue"/>
    <pivotTable tabId="36" name="Area wise revenue"/>
    <pivotTable tabId="36" name="Monthly sale"/>
    <pivotTable tabId="36" name="Type wise revenue regenerated"/>
    <pivotTable tabId="36" name="Year-wise revenue"/>
  </pivotTables>
  <data>
    <tabular pivotCacheId="73628471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A932C753-7211-4C26-BF3A-36304186A9BE}" sourceName="Type">
  <pivotTables>
    <pivotTable tabId="36" name="Type wise revenue regenerated"/>
  </pivotTables>
  <data>
    <tabular pivotCacheId="73628471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0A5DC1B6-EE1D-46C5-AFF4-112D2A58F294}" sourceName="Agent">
  <pivotTables>
    <pivotTable tabId="36" name="Area wise avg price"/>
    <pivotTable tabId="36" name="Area wise revenue"/>
    <pivotTable tabId="36" name="Type wise revenue regenerated"/>
    <pivotTable tabId="36" name="Year-wise revenue"/>
  </pivotTables>
  <data>
    <tabular pivotCacheId="736284713">
      <items count="6">
        <i x="2" s="1"/>
        <i x="1" s="1"/>
        <i x="4" s="1"/>
        <i x="5"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xr10:uid="{AC31A037-5A78-477F-9D19-C4C7609762EF}" cache="Slicer_Area" caption="Area" columnCount="2" style="SlicerStyleDark5" rowHeight="324000"/>
  <slicer name="Type" xr10:uid="{3498CED9-0045-45B2-9E04-01499E00CA96}" cache="Slicer_Type" caption="Type" columnCount="2" style="SlicerStyleDark5" rowHeight="288000"/>
  <slicer name="Agent" xr10:uid="{05581467-F218-4730-89D6-BE1F4438EFE0}" cache="Slicer_Agent" caption="Agent" columnCount="2"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51DD28-0FE8-452F-87C6-342AA7CCD604}" name="MasterTable" displayName="MasterTable" ref="A1:M126" totalsRowShown="0" headerRowDxfId="15" dataDxfId="14" tableBorderDxfId="13" headerRowCellStyle="Normal 2" dataCellStyle="Normal 2">
  <autoFilter ref="A1:M126" xr:uid="{4451DD28-0FE8-452F-87C6-342AA7CCD604}"/>
  <sortState xmlns:xlrd2="http://schemas.microsoft.com/office/spreadsheetml/2017/richdata2" ref="A2:M126">
    <sortCondition ref="A1:A128"/>
  </sortState>
  <tableColumns count="13">
    <tableColumn id="1" xr3:uid="{5E8A32F5-2578-44EC-9DC4-4F1862A82D44}" name="PropertyID" dataDxfId="12" dataCellStyle="Normal 2"/>
    <tableColumn id="2" xr3:uid="{3E9B72E0-7B34-40AE-A8DD-26D527524D86}" name="Area" dataDxfId="11" dataCellStyle="Normal 2"/>
    <tableColumn id="3" xr3:uid="{D3F4A544-243C-4207-89D7-8B5B001B1ACD}" name="Type" dataDxfId="10" dataCellStyle="Normal 2"/>
    <tableColumn id="4" xr3:uid="{F521155F-B537-4E4E-BABC-DB645E78D427}" name="Agent" dataDxfId="9" dataCellStyle="Normal 2"/>
    <tableColumn id="5" xr3:uid="{919C1C45-DD61-4162-86E8-D3CB3F7C662B}" name="Date Listed" dataDxfId="8" dataCellStyle="Normal 2"/>
    <tableColumn id="6" xr3:uid="{2CDC310C-93C2-405A-B50D-A7A50CA651EA}" name="Sale Date" dataDxfId="7" dataCellStyle="Normal 2"/>
    <tableColumn id="7" xr3:uid="{F1DFF9E8-73A2-4814-A464-4848E5AC12F7}" name="Offered Price" dataDxfId="6" dataCellStyle="Normal 2"/>
    <tableColumn id="8" xr3:uid="{EEE6D6AA-A61A-4A28-8C4B-AA842A0217C0}" name="Bedrooms" dataDxfId="5" dataCellStyle="Normal 2"/>
    <tableColumn id="9" xr3:uid="{26CC07E5-3731-406C-A44F-DDA85666BC6E}" name="Baths" dataDxfId="4" dataCellStyle="Normal 2"/>
    <tableColumn id="10" xr3:uid="{5D73896C-9081-489E-8491-B967E33D2E72}" name="SqFt" dataDxfId="3" dataCellStyle="Normal 2"/>
    <tableColumn id="11" xr3:uid="{EFF0588A-2DE6-4391-8BBA-9CC5AB26CEC7}" name="Pool" dataDxfId="2" dataCellStyle="Normal 2"/>
    <tableColumn id="12" xr3:uid="{91F0CF53-DB97-453C-B2A5-606398F532BA}" name="Sold" dataDxfId="1" dataCellStyle="Normal 2"/>
    <tableColumn id="13" xr3:uid="{D11DC624-9CF6-419C-93CC-49EB89CB1605}" name="Price Per SqFt" dataDxfId="0"/>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87C441F-5B7A-4736-B10F-1923AAB2BF65}">
  <we:reference id="cec2c794-cfc7-4347-a54b-1ced872b6768" version="1.0.0.11" store="EXCatalog" storeType="EXCatalog"/>
  <we:alternateReferences>
    <we:reference id="WA200005502" version="1.0.0.11" store="en-IN" storeType="OMEX"/>
  </we:alternateReferences>
  <we:properties>
    <we:property name="docId" value="&quot;_wJsdVVq2dDrzxaDr_-Qm&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1841D-374E-42EE-A4EC-1F29AFCAD560}">
  <dimension ref="A1:J913"/>
  <sheetViews>
    <sheetView zoomScaleNormal="100" workbookViewId="0">
      <selection activeCell="A10" sqref="A10"/>
    </sheetView>
  </sheetViews>
  <sheetFormatPr defaultColWidth="12.59765625" defaultRowHeight="15" customHeight="1" x14ac:dyDescent="0.25"/>
  <cols>
    <col min="1" max="1" width="31.59765625" style="25" bestFit="1" customWidth="1"/>
    <col min="2" max="2" width="12.296875" style="25" customWidth="1"/>
    <col min="3" max="3" width="16.19921875" style="25" bestFit="1" customWidth="1"/>
    <col min="4" max="4" width="16.09765625" style="25" bestFit="1" customWidth="1"/>
    <col min="5" max="5" width="13.59765625" style="25" customWidth="1"/>
    <col min="6" max="6" width="9.69921875" style="25" customWidth="1"/>
    <col min="7" max="7" width="7" style="25" customWidth="1"/>
    <col min="8" max="9" width="10.09765625" style="25" customWidth="1"/>
    <col min="10" max="10" width="10" style="25" customWidth="1"/>
    <col min="11" max="11" width="7.59765625" style="25" customWidth="1"/>
    <col min="12" max="16384" width="12.59765625" style="25"/>
  </cols>
  <sheetData>
    <row r="1" spans="1:10" ht="14.25" customHeight="1" x14ac:dyDescent="0.3">
      <c r="A1" s="31" t="s">
        <v>106</v>
      </c>
      <c r="B1" s="31" t="s">
        <v>105</v>
      </c>
      <c r="C1" s="33" t="s">
        <v>104</v>
      </c>
      <c r="D1" s="33" t="s">
        <v>103</v>
      </c>
      <c r="E1" s="31" t="s">
        <v>102</v>
      </c>
      <c r="F1" s="31" t="s">
        <v>101</v>
      </c>
      <c r="G1" s="31" t="s">
        <v>100</v>
      </c>
      <c r="H1" s="31" t="s">
        <v>99</v>
      </c>
      <c r="I1" s="31" t="s">
        <v>98</v>
      </c>
      <c r="J1" s="31" t="s">
        <v>97</v>
      </c>
    </row>
    <row r="2" spans="1:10" ht="14.25" customHeight="1" x14ac:dyDescent="0.3">
      <c r="A2" s="26" t="s">
        <v>149</v>
      </c>
      <c r="B2" s="29" t="s">
        <v>48</v>
      </c>
      <c r="C2" s="29">
        <v>44611</v>
      </c>
      <c r="D2" s="29">
        <v>45071</v>
      </c>
      <c r="E2" s="28">
        <v>204900</v>
      </c>
      <c r="F2" s="26">
        <v>3</v>
      </c>
      <c r="G2" s="26">
        <v>2.5</v>
      </c>
      <c r="H2" s="27">
        <v>1630</v>
      </c>
      <c r="I2" s="26" t="b">
        <v>0</v>
      </c>
      <c r="J2" s="26" t="b">
        <v>1</v>
      </c>
    </row>
    <row r="3" spans="1:10" ht="14.25" customHeight="1" x14ac:dyDescent="0.3">
      <c r="A3" s="26" t="s">
        <v>150</v>
      </c>
      <c r="B3" s="29" t="s">
        <v>48</v>
      </c>
      <c r="C3" s="29">
        <v>44613</v>
      </c>
      <c r="D3" s="29"/>
      <c r="E3" s="28">
        <v>269900</v>
      </c>
      <c r="F3" s="26">
        <v>4</v>
      </c>
      <c r="G3" s="26">
        <v>2.5</v>
      </c>
      <c r="H3" s="27">
        <v>1911</v>
      </c>
      <c r="I3" s="26" t="b">
        <v>0</v>
      </c>
      <c r="J3" s="26" t="b">
        <v>0</v>
      </c>
    </row>
    <row r="4" spans="1:10" ht="14.25" customHeight="1" x14ac:dyDescent="0.3">
      <c r="A4" s="26" t="s">
        <v>151</v>
      </c>
      <c r="B4" s="29" t="s">
        <v>48</v>
      </c>
      <c r="C4" s="29">
        <v>44617</v>
      </c>
      <c r="D4" s="29"/>
      <c r="E4" s="28">
        <v>338876</v>
      </c>
      <c r="F4" s="26">
        <v>4</v>
      </c>
      <c r="G4" s="26">
        <v>2.5</v>
      </c>
      <c r="H4" s="27">
        <v>2612</v>
      </c>
      <c r="I4" s="26" t="b">
        <v>0</v>
      </c>
      <c r="J4" s="26" t="b">
        <v>0</v>
      </c>
    </row>
    <row r="5" spans="1:10" ht="14.25" customHeight="1" x14ac:dyDescent="0.3">
      <c r="A5" s="26" t="s">
        <v>152</v>
      </c>
      <c r="B5" s="29" t="s">
        <v>48</v>
      </c>
      <c r="C5" s="29">
        <v>44635</v>
      </c>
      <c r="D5" s="29"/>
      <c r="E5" s="28">
        <v>205000</v>
      </c>
      <c r="F5" s="26">
        <v>3</v>
      </c>
      <c r="G5" s="26">
        <v>2.5</v>
      </c>
      <c r="H5" s="27">
        <v>2001</v>
      </c>
      <c r="I5" s="26" t="b">
        <v>1</v>
      </c>
      <c r="J5" s="26" t="b">
        <v>0</v>
      </c>
    </row>
    <row r="6" spans="1:10" ht="14.25" customHeight="1" x14ac:dyDescent="0.3">
      <c r="A6" s="26" t="s">
        <v>153</v>
      </c>
      <c r="B6" s="29" t="s">
        <v>48</v>
      </c>
      <c r="C6" s="29">
        <v>44636</v>
      </c>
      <c r="D6" s="29"/>
      <c r="E6" s="28">
        <v>325000</v>
      </c>
      <c r="F6" s="26">
        <v>4</v>
      </c>
      <c r="G6" s="26">
        <v>3</v>
      </c>
      <c r="H6" s="27">
        <v>2770</v>
      </c>
      <c r="I6" s="26" t="b">
        <v>0</v>
      </c>
      <c r="J6" s="26" t="b">
        <v>0</v>
      </c>
    </row>
    <row r="7" spans="1:10" ht="14.25" customHeight="1" x14ac:dyDescent="0.3">
      <c r="A7" s="26" t="s">
        <v>154</v>
      </c>
      <c r="B7" s="29" t="s">
        <v>48</v>
      </c>
      <c r="C7" s="30">
        <v>44639</v>
      </c>
      <c r="D7" s="29"/>
      <c r="E7" s="28">
        <v>247500</v>
      </c>
      <c r="F7" s="26">
        <v>4</v>
      </c>
      <c r="G7" s="26">
        <v>3</v>
      </c>
      <c r="H7" s="27">
        <v>2000</v>
      </c>
      <c r="I7" s="26" t="b">
        <v>0</v>
      </c>
      <c r="J7" s="26" t="b">
        <v>0</v>
      </c>
    </row>
    <row r="8" spans="1:10" ht="14.25" customHeight="1" x14ac:dyDescent="0.3">
      <c r="A8" s="26" t="s">
        <v>155</v>
      </c>
      <c r="B8" s="29" t="s">
        <v>60</v>
      </c>
      <c r="C8" s="29">
        <v>44639</v>
      </c>
      <c r="D8" s="29">
        <v>45027</v>
      </c>
      <c r="E8" s="28">
        <v>215000</v>
      </c>
      <c r="F8" s="26">
        <v>1</v>
      </c>
      <c r="G8" s="26">
        <v>2</v>
      </c>
      <c r="H8" s="27">
        <v>1552</v>
      </c>
      <c r="I8" s="26" t="b">
        <v>0</v>
      </c>
      <c r="J8" s="26" t="b">
        <v>1</v>
      </c>
    </row>
    <row r="9" spans="1:10" ht="14.25" customHeight="1" x14ac:dyDescent="0.3">
      <c r="A9" s="26" t="s">
        <v>156</v>
      </c>
      <c r="B9" s="29" t="s">
        <v>48</v>
      </c>
      <c r="C9" s="29">
        <v>44655</v>
      </c>
      <c r="D9" s="29">
        <v>44882</v>
      </c>
      <c r="E9" s="28">
        <v>297500</v>
      </c>
      <c r="F9" s="26">
        <v>4</v>
      </c>
      <c r="G9" s="26">
        <v>3.5</v>
      </c>
      <c r="H9" s="27">
        <v>2170</v>
      </c>
      <c r="I9" s="26" t="b">
        <v>0</v>
      </c>
      <c r="J9" s="26" t="b">
        <v>1</v>
      </c>
    </row>
    <row r="10" spans="1:10" ht="14.25" customHeight="1" x14ac:dyDescent="0.3">
      <c r="A10" s="26" t="s">
        <v>157</v>
      </c>
      <c r="B10" s="29" t="s">
        <v>48</v>
      </c>
      <c r="C10" s="29">
        <v>44663</v>
      </c>
      <c r="D10" s="30">
        <v>45177</v>
      </c>
      <c r="E10" s="28">
        <v>325000</v>
      </c>
      <c r="F10" s="26">
        <v>4</v>
      </c>
      <c r="G10" s="26">
        <v>3</v>
      </c>
      <c r="H10" s="27">
        <v>2800</v>
      </c>
      <c r="I10" s="26" t="b">
        <v>1</v>
      </c>
      <c r="J10" s="26" t="b">
        <v>1</v>
      </c>
    </row>
    <row r="11" spans="1:10" ht="14.25" customHeight="1" x14ac:dyDescent="0.3">
      <c r="A11" s="26" t="s">
        <v>158</v>
      </c>
      <c r="B11" s="29" t="s">
        <v>48</v>
      </c>
      <c r="C11" s="29">
        <v>44665</v>
      </c>
      <c r="D11" s="29">
        <v>45043</v>
      </c>
      <c r="E11" s="28">
        <v>208750</v>
      </c>
      <c r="F11" s="26">
        <v>4</v>
      </c>
      <c r="G11" s="26">
        <v>3</v>
      </c>
      <c r="H11" s="27">
        <v>2207</v>
      </c>
      <c r="I11" s="26" t="b">
        <v>1</v>
      </c>
      <c r="J11" s="26" t="b">
        <v>1</v>
      </c>
    </row>
    <row r="12" spans="1:10" ht="14.25" customHeight="1" x14ac:dyDescent="0.3">
      <c r="A12" s="26" t="s">
        <v>159</v>
      </c>
      <c r="B12" s="29" t="s">
        <v>48</v>
      </c>
      <c r="C12" s="29">
        <v>44665</v>
      </c>
      <c r="D12" s="29">
        <v>45132</v>
      </c>
      <c r="E12" s="28">
        <v>227500</v>
      </c>
      <c r="F12" s="26">
        <v>4</v>
      </c>
      <c r="G12" s="26">
        <v>3</v>
      </c>
      <c r="H12" s="27">
        <v>1905</v>
      </c>
      <c r="I12" s="26" t="b">
        <v>0</v>
      </c>
      <c r="J12" s="26" t="b">
        <v>1</v>
      </c>
    </row>
    <row r="13" spans="1:10" ht="14.25" customHeight="1" x14ac:dyDescent="0.3">
      <c r="A13" s="26" t="s">
        <v>160</v>
      </c>
      <c r="B13" s="29" t="s">
        <v>48</v>
      </c>
      <c r="C13" s="29">
        <v>44669</v>
      </c>
      <c r="D13" s="30">
        <v>44852</v>
      </c>
      <c r="E13" s="28">
        <v>240000</v>
      </c>
      <c r="F13" s="26">
        <v>3</v>
      </c>
      <c r="G13" s="26">
        <v>2.5</v>
      </c>
      <c r="H13" s="27">
        <v>1595</v>
      </c>
      <c r="I13" s="26" t="b">
        <v>0</v>
      </c>
      <c r="J13" s="26" t="b">
        <v>1</v>
      </c>
    </row>
    <row r="14" spans="1:10" ht="14.25" customHeight="1" x14ac:dyDescent="0.3">
      <c r="A14" s="26" t="s">
        <v>161</v>
      </c>
      <c r="B14" s="29" t="s">
        <v>109</v>
      </c>
      <c r="C14" s="29">
        <v>44669</v>
      </c>
      <c r="D14" s="29"/>
      <c r="E14" s="28">
        <v>236900</v>
      </c>
      <c r="F14" s="26">
        <v>1</v>
      </c>
      <c r="G14" s="26">
        <v>2</v>
      </c>
      <c r="H14" s="27">
        <v>1483</v>
      </c>
      <c r="I14" s="26" t="b">
        <v>0</v>
      </c>
      <c r="J14" s="26" t="b">
        <v>0</v>
      </c>
    </row>
    <row r="15" spans="1:10" ht="14.25" customHeight="1" x14ac:dyDescent="0.3">
      <c r="A15" s="26" t="s">
        <v>161</v>
      </c>
      <c r="B15" s="29" t="s">
        <v>109</v>
      </c>
      <c r="C15" s="29">
        <v>44669</v>
      </c>
      <c r="D15" s="29"/>
      <c r="E15" s="28">
        <v>236900</v>
      </c>
      <c r="F15" s="26">
        <v>1</v>
      </c>
      <c r="G15" s="26">
        <v>2</v>
      </c>
      <c r="H15" s="27">
        <v>1483</v>
      </c>
      <c r="I15" s="26" t="b">
        <v>0</v>
      </c>
      <c r="J15" s="26" t="b">
        <v>0</v>
      </c>
    </row>
    <row r="16" spans="1:10" ht="14.25" customHeight="1" x14ac:dyDescent="0.3">
      <c r="A16" s="26" t="s">
        <v>162</v>
      </c>
      <c r="B16" s="29" t="s">
        <v>48</v>
      </c>
      <c r="C16" s="29">
        <v>44671</v>
      </c>
      <c r="D16" s="29">
        <v>45188</v>
      </c>
      <c r="E16" s="28">
        <v>304900</v>
      </c>
      <c r="F16" s="26">
        <v>4</v>
      </c>
      <c r="G16" s="26">
        <v>3</v>
      </c>
      <c r="H16" s="27">
        <v>2350</v>
      </c>
      <c r="I16" s="26" t="b">
        <v>0</v>
      </c>
      <c r="J16" s="26" t="b">
        <v>1</v>
      </c>
    </row>
    <row r="17" spans="1:10" ht="14.25" customHeight="1" x14ac:dyDescent="0.3">
      <c r="A17" s="26" t="s">
        <v>163</v>
      </c>
      <c r="B17" s="29" t="s">
        <v>48</v>
      </c>
      <c r="C17" s="29">
        <v>44677</v>
      </c>
      <c r="D17" s="29"/>
      <c r="E17" s="28">
        <v>225911</v>
      </c>
      <c r="F17" s="26">
        <v>4</v>
      </c>
      <c r="G17" s="26">
        <v>2.5</v>
      </c>
      <c r="H17" s="27">
        <v>1908</v>
      </c>
      <c r="I17" s="26" t="b">
        <v>1</v>
      </c>
      <c r="J17" s="26" t="b">
        <v>0</v>
      </c>
    </row>
    <row r="18" spans="1:10" ht="14.25" customHeight="1" x14ac:dyDescent="0.3">
      <c r="A18" s="26" t="s">
        <v>164</v>
      </c>
      <c r="B18" s="29" t="s">
        <v>58</v>
      </c>
      <c r="C18" s="29">
        <v>44693</v>
      </c>
      <c r="D18" s="30">
        <v>45062</v>
      </c>
      <c r="E18" s="28">
        <v>360000</v>
      </c>
      <c r="F18" s="26">
        <v>5</v>
      </c>
      <c r="G18" s="26">
        <v>3</v>
      </c>
      <c r="H18" s="27">
        <v>2112</v>
      </c>
      <c r="I18" s="26" t="b">
        <v>1</v>
      </c>
      <c r="J18" s="26" t="b">
        <v>1</v>
      </c>
    </row>
    <row r="19" spans="1:10" ht="14.25" customHeight="1" x14ac:dyDescent="0.3">
      <c r="A19" s="26" t="s">
        <v>165</v>
      </c>
      <c r="B19" s="29" t="s">
        <v>48</v>
      </c>
      <c r="C19" s="30">
        <v>44700</v>
      </c>
      <c r="D19" s="29">
        <v>44895</v>
      </c>
      <c r="E19" s="28">
        <v>249000</v>
      </c>
      <c r="F19" s="26">
        <v>3</v>
      </c>
      <c r="G19" s="26">
        <v>2.5</v>
      </c>
      <c r="H19" s="27">
        <v>1730</v>
      </c>
      <c r="I19" s="26" t="b">
        <v>0</v>
      </c>
      <c r="J19" s="26" t="b">
        <v>1</v>
      </c>
    </row>
    <row r="20" spans="1:10" ht="14.25" customHeight="1" x14ac:dyDescent="0.3">
      <c r="A20" s="26" t="s">
        <v>166</v>
      </c>
      <c r="B20" s="29" t="s">
        <v>48</v>
      </c>
      <c r="C20" s="30">
        <v>44709</v>
      </c>
      <c r="D20" s="29"/>
      <c r="E20" s="28">
        <v>574900</v>
      </c>
      <c r="F20" s="26">
        <v>5</v>
      </c>
      <c r="G20" s="26">
        <v>4</v>
      </c>
      <c r="H20" s="27">
        <v>4700</v>
      </c>
      <c r="I20" s="26" t="b">
        <v>0</v>
      </c>
      <c r="J20" s="26" t="b">
        <v>0</v>
      </c>
    </row>
    <row r="21" spans="1:10" ht="14.25" customHeight="1" x14ac:dyDescent="0.3">
      <c r="A21" s="26" t="s">
        <v>167</v>
      </c>
      <c r="B21" s="29" t="s">
        <v>48</v>
      </c>
      <c r="C21" s="30">
        <v>44725</v>
      </c>
      <c r="D21" s="29">
        <v>45267</v>
      </c>
      <c r="E21" s="28">
        <v>245000</v>
      </c>
      <c r="F21" s="26">
        <v>4</v>
      </c>
      <c r="G21" s="26">
        <v>3</v>
      </c>
      <c r="H21" s="27">
        <v>2047</v>
      </c>
      <c r="I21" s="26" t="b">
        <v>0</v>
      </c>
      <c r="J21" s="26" t="b">
        <v>1</v>
      </c>
    </row>
    <row r="22" spans="1:10" ht="14.25" customHeight="1" x14ac:dyDescent="0.3">
      <c r="A22" s="26" t="s">
        <v>168</v>
      </c>
      <c r="B22" s="29" t="s">
        <v>48</v>
      </c>
      <c r="C22" s="29">
        <v>44731</v>
      </c>
      <c r="D22" s="29"/>
      <c r="E22" s="28">
        <v>229900</v>
      </c>
      <c r="F22" s="26">
        <v>3</v>
      </c>
      <c r="G22" s="26">
        <v>2.5</v>
      </c>
      <c r="H22" s="27">
        <v>1580</v>
      </c>
      <c r="I22" s="26" t="b">
        <v>1</v>
      </c>
      <c r="J22" s="26" t="b">
        <v>0</v>
      </c>
    </row>
    <row r="23" spans="1:10" ht="14.25" customHeight="1" x14ac:dyDescent="0.3">
      <c r="A23" s="26" t="s">
        <v>169</v>
      </c>
      <c r="B23" s="29" t="s">
        <v>109</v>
      </c>
      <c r="C23" s="29">
        <v>44731</v>
      </c>
      <c r="D23" s="29"/>
      <c r="E23" s="28">
        <v>225000</v>
      </c>
      <c r="F23" s="26">
        <v>4</v>
      </c>
      <c r="G23" s="26">
        <v>3</v>
      </c>
      <c r="H23" s="27">
        <v>2013</v>
      </c>
      <c r="I23" s="26" t="b">
        <v>1</v>
      </c>
      <c r="J23" s="26" t="b">
        <v>0</v>
      </c>
    </row>
    <row r="24" spans="1:10" ht="14.25" customHeight="1" x14ac:dyDescent="0.3">
      <c r="A24" s="26" t="s">
        <v>170</v>
      </c>
      <c r="B24" s="29" t="s">
        <v>109</v>
      </c>
      <c r="C24" s="29">
        <v>44731</v>
      </c>
      <c r="D24" s="29"/>
      <c r="E24" s="28">
        <v>208750</v>
      </c>
      <c r="F24" s="26">
        <v>4</v>
      </c>
      <c r="G24" s="26">
        <v>2</v>
      </c>
      <c r="H24" s="27">
        <v>1800</v>
      </c>
      <c r="I24" s="26" t="b">
        <v>0</v>
      </c>
      <c r="J24" s="26" t="b">
        <v>0</v>
      </c>
    </row>
    <row r="25" spans="1:10" ht="14.25" customHeight="1" x14ac:dyDescent="0.3">
      <c r="A25" s="26" t="s">
        <v>171</v>
      </c>
      <c r="B25" s="29" t="s">
        <v>48</v>
      </c>
      <c r="C25" s="29">
        <v>44740</v>
      </c>
      <c r="D25" s="29"/>
      <c r="E25" s="28">
        <v>239900</v>
      </c>
      <c r="F25" s="26">
        <v>4</v>
      </c>
      <c r="G25" s="26">
        <v>3</v>
      </c>
      <c r="H25" s="27">
        <v>2260</v>
      </c>
      <c r="I25" s="26" t="b">
        <v>0</v>
      </c>
      <c r="J25" s="26" t="b">
        <v>0</v>
      </c>
    </row>
    <row r="26" spans="1:10" ht="14.25" customHeight="1" x14ac:dyDescent="0.3">
      <c r="A26" s="26" t="s">
        <v>172</v>
      </c>
      <c r="B26" s="29" t="s">
        <v>51</v>
      </c>
      <c r="C26" s="29">
        <v>44747</v>
      </c>
      <c r="D26" s="29"/>
      <c r="E26" s="28">
        <v>205500</v>
      </c>
      <c r="F26" s="26">
        <v>4</v>
      </c>
      <c r="G26" s="26">
        <v>2.5</v>
      </c>
      <c r="H26" s="27">
        <v>1751</v>
      </c>
      <c r="I26" s="26" t="b">
        <v>0</v>
      </c>
      <c r="J26" s="26" t="b">
        <v>0</v>
      </c>
    </row>
    <row r="27" spans="1:10" ht="14.25" customHeight="1" x14ac:dyDescent="0.3">
      <c r="A27" s="26" t="s">
        <v>173</v>
      </c>
      <c r="B27" s="29" t="s">
        <v>48</v>
      </c>
      <c r="C27" s="29">
        <v>44755</v>
      </c>
      <c r="D27" s="29"/>
      <c r="E27" s="28">
        <v>349000</v>
      </c>
      <c r="F27" s="26">
        <v>4</v>
      </c>
      <c r="G27" s="26">
        <v>3</v>
      </c>
      <c r="H27" s="27">
        <v>1838</v>
      </c>
      <c r="I27" s="26" t="b">
        <v>0</v>
      </c>
      <c r="J27" s="26" t="b">
        <v>0</v>
      </c>
    </row>
    <row r="28" spans="1:10" ht="14.25" customHeight="1" x14ac:dyDescent="0.3">
      <c r="A28" s="26" t="s">
        <v>174</v>
      </c>
      <c r="B28" s="29" t="s">
        <v>48</v>
      </c>
      <c r="C28" s="29">
        <v>44769</v>
      </c>
      <c r="D28" s="29"/>
      <c r="E28" s="28">
        <v>229500</v>
      </c>
      <c r="F28" s="26">
        <v>4</v>
      </c>
      <c r="G28" s="26">
        <v>2.5</v>
      </c>
      <c r="H28" s="27">
        <v>2284</v>
      </c>
      <c r="I28" s="26" t="b">
        <v>0</v>
      </c>
      <c r="J28" s="26" t="b">
        <v>0</v>
      </c>
    </row>
    <row r="29" spans="1:10" ht="14.25" customHeight="1" x14ac:dyDescent="0.3">
      <c r="A29" s="26" t="s">
        <v>175</v>
      </c>
      <c r="B29" s="29" t="s">
        <v>48</v>
      </c>
      <c r="C29" s="29">
        <v>44769</v>
      </c>
      <c r="D29" s="29"/>
      <c r="E29" s="28">
        <v>229500</v>
      </c>
      <c r="F29" s="26">
        <v>4</v>
      </c>
      <c r="G29" s="26">
        <v>2.5</v>
      </c>
      <c r="H29" s="27">
        <v>2284</v>
      </c>
      <c r="I29" s="26" t="b">
        <v>0</v>
      </c>
      <c r="J29" s="26" t="b">
        <v>0</v>
      </c>
    </row>
    <row r="30" spans="1:10" ht="14.25" customHeight="1" x14ac:dyDescent="0.3">
      <c r="A30" s="26" t="s">
        <v>176</v>
      </c>
      <c r="B30" s="29" t="s">
        <v>48</v>
      </c>
      <c r="C30" s="29">
        <v>44774</v>
      </c>
      <c r="D30" s="29">
        <v>45243</v>
      </c>
      <c r="E30" s="28">
        <v>249900</v>
      </c>
      <c r="F30" s="26">
        <v>3</v>
      </c>
      <c r="G30" s="26">
        <v>2</v>
      </c>
      <c r="H30" s="27">
        <v>2050</v>
      </c>
      <c r="I30" s="26" t="b">
        <v>0</v>
      </c>
      <c r="J30" s="26" t="b">
        <v>1</v>
      </c>
    </row>
    <row r="31" spans="1:10" ht="14.25" customHeight="1" x14ac:dyDescent="0.3">
      <c r="A31" s="26" t="s">
        <v>177</v>
      </c>
      <c r="B31" s="29" t="s">
        <v>48</v>
      </c>
      <c r="C31" s="29">
        <v>44778</v>
      </c>
      <c r="D31" s="30">
        <v>45045</v>
      </c>
      <c r="E31" s="28">
        <v>225911</v>
      </c>
      <c r="F31" s="26">
        <v>4</v>
      </c>
      <c r="G31" s="26">
        <v>2.5</v>
      </c>
      <c r="H31" s="27">
        <v>1908</v>
      </c>
      <c r="I31" s="26" t="b">
        <v>0</v>
      </c>
      <c r="J31" s="26" t="b">
        <v>1</v>
      </c>
    </row>
    <row r="32" spans="1:10" ht="14.25" customHeight="1" x14ac:dyDescent="0.3">
      <c r="A32" s="26" t="s">
        <v>178</v>
      </c>
      <c r="B32" s="29" t="s">
        <v>48</v>
      </c>
      <c r="C32" s="29">
        <v>44787</v>
      </c>
      <c r="D32" s="29"/>
      <c r="E32" s="28">
        <v>317500</v>
      </c>
      <c r="F32" s="26">
        <v>4</v>
      </c>
      <c r="G32" s="26">
        <v>3</v>
      </c>
      <c r="H32" s="27">
        <v>2367</v>
      </c>
      <c r="I32" s="26" t="b">
        <v>0</v>
      </c>
      <c r="J32" s="26" t="b">
        <v>0</v>
      </c>
    </row>
    <row r="33" spans="1:10" ht="14.25" customHeight="1" x14ac:dyDescent="0.3">
      <c r="A33" s="26" t="s">
        <v>179</v>
      </c>
      <c r="B33" s="29" t="s">
        <v>58</v>
      </c>
      <c r="C33" s="30">
        <v>44792</v>
      </c>
      <c r="D33" s="29"/>
      <c r="E33" s="28">
        <v>229500</v>
      </c>
      <c r="F33" s="26">
        <v>3</v>
      </c>
      <c r="G33" s="26">
        <v>2</v>
      </c>
      <c r="H33" s="27">
        <v>1694</v>
      </c>
      <c r="I33" s="26" t="b">
        <v>0</v>
      </c>
      <c r="J33" s="26" t="b">
        <v>0</v>
      </c>
    </row>
    <row r="34" spans="1:10" ht="14.25" customHeight="1" x14ac:dyDescent="0.3">
      <c r="A34" s="26" t="s">
        <v>180</v>
      </c>
      <c r="B34" s="29" t="s">
        <v>48</v>
      </c>
      <c r="C34" s="30">
        <v>44794</v>
      </c>
      <c r="D34" s="29"/>
      <c r="E34" s="28">
        <v>300000</v>
      </c>
      <c r="F34" s="26">
        <v>4</v>
      </c>
      <c r="G34" s="26">
        <v>3</v>
      </c>
      <c r="H34" s="27">
        <v>2650</v>
      </c>
      <c r="I34" s="26" t="b">
        <v>0</v>
      </c>
      <c r="J34" s="26" t="b">
        <v>0</v>
      </c>
    </row>
    <row r="35" spans="1:10" ht="14.25" customHeight="1" x14ac:dyDescent="0.3">
      <c r="A35" s="26" t="s">
        <v>181</v>
      </c>
      <c r="B35" s="29" t="s">
        <v>58</v>
      </c>
      <c r="C35" s="30">
        <v>44798</v>
      </c>
      <c r="D35" s="29"/>
      <c r="E35" s="28">
        <v>365000</v>
      </c>
      <c r="F35" s="26">
        <v>5</v>
      </c>
      <c r="G35" s="26">
        <v>3</v>
      </c>
      <c r="H35" s="27">
        <v>3938</v>
      </c>
      <c r="I35" s="26" t="b">
        <v>0</v>
      </c>
      <c r="J35" s="26" t="b">
        <v>0</v>
      </c>
    </row>
    <row r="36" spans="1:10" ht="14.25" customHeight="1" x14ac:dyDescent="0.3">
      <c r="A36" s="26" t="s">
        <v>182</v>
      </c>
      <c r="B36" s="29" t="s">
        <v>48</v>
      </c>
      <c r="C36" s="30">
        <v>44799</v>
      </c>
      <c r="D36" s="29"/>
      <c r="E36" s="28">
        <v>245000</v>
      </c>
      <c r="F36" s="26">
        <v>4</v>
      </c>
      <c r="G36" s="26">
        <v>3</v>
      </c>
      <c r="H36" s="27">
        <v>2084</v>
      </c>
      <c r="I36" s="26" t="b">
        <v>0</v>
      </c>
      <c r="J36" s="26" t="b">
        <v>0</v>
      </c>
    </row>
    <row r="37" spans="1:10" ht="14.25" customHeight="1" x14ac:dyDescent="0.3">
      <c r="A37" s="26" t="s">
        <v>183</v>
      </c>
      <c r="B37" s="29" t="s">
        <v>48</v>
      </c>
      <c r="C37" s="30">
        <v>44813</v>
      </c>
      <c r="D37" s="30">
        <v>45299</v>
      </c>
      <c r="E37" s="28">
        <v>205500</v>
      </c>
      <c r="F37" s="26">
        <v>4</v>
      </c>
      <c r="G37" s="26">
        <v>2.5</v>
      </c>
      <c r="H37" s="27">
        <v>2036</v>
      </c>
      <c r="I37" s="26" t="b">
        <v>0</v>
      </c>
      <c r="J37" s="26" t="b">
        <v>1</v>
      </c>
    </row>
    <row r="38" spans="1:10" ht="14.25" customHeight="1" x14ac:dyDescent="0.3">
      <c r="A38" s="26" t="s">
        <v>184</v>
      </c>
      <c r="B38" s="29" t="s">
        <v>60</v>
      </c>
      <c r="C38" s="29">
        <v>44823</v>
      </c>
      <c r="D38" s="30">
        <v>45324</v>
      </c>
      <c r="E38" s="28">
        <v>339900</v>
      </c>
      <c r="F38" s="26">
        <v>4</v>
      </c>
      <c r="G38" s="26">
        <v>3</v>
      </c>
      <c r="H38" s="27">
        <v>2687</v>
      </c>
      <c r="I38" s="26" t="b">
        <v>0</v>
      </c>
      <c r="J38" s="26" t="b">
        <v>1</v>
      </c>
    </row>
    <row r="39" spans="1:10" ht="14.25" customHeight="1" x14ac:dyDescent="0.3">
      <c r="A39" s="26" t="s">
        <v>185</v>
      </c>
      <c r="B39" s="29" t="s">
        <v>48</v>
      </c>
      <c r="C39" s="29">
        <v>44826</v>
      </c>
      <c r="D39" s="29">
        <v>45056</v>
      </c>
      <c r="E39" s="28">
        <v>289000</v>
      </c>
      <c r="F39" s="26">
        <v>3</v>
      </c>
      <c r="G39" s="26">
        <v>2</v>
      </c>
      <c r="H39" s="27">
        <v>1627</v>
      </c>
      <c r="I39" s="26" t="b">
        <v>0</v>
      </c>
      <c r="J39" s="26" t="b">
        <v>1</v>
      </c>
    </row>
    <row r="40" spans="1:10" ht="14.25" customHeight="1" x14ac:dyDescent="0.3">
      <c r="A40" s="26" t="s">
        <v>186</v>
      </c>
      <c r="B40" s="29" t="s">
        <v>60</v>
      </c>
      <c r="C40" s="29">
        <v>44827</v>
      </c>
      <c r="D40" s="29"/>
      <c r="E40" s="28">
        <v>235990</v>
      </c>
      <c r="F40" s="26">
        <v>5</v>
      </c>
      <c r="G40" s="26">
        <v>3</v>
      </c>
      <c r="H40" s="27">
        <v>2723</v>
      </c>
      <c r="I40" s="26" t="b">
        <v>0</v>
      </c>
      <c r="J40" s="26" t="b">
        <v>0</v>
      </c>
    </row>
    <row r="41" spans="1:10" ht="14.25" customHeight="1" x14ac:dyDescent="0.3">
      <c r="A41" s="26" t="s">
        <v>187</v>
      </c>
      <c r="B41" s="29" t="s">
        <v>48</v>
      </c>
      <c r="C41" s="29">
        <v>44845</v>
      </c>
      <c r="D41" s="29"/>
      <c r="E41" s="28">
        <v>264900</v>
      </c>
      <c r="F41" s="26">
        <v>4</v>
      </c>
      <c r="G41" s="26">
        <v>2.5</v>
      </c>
      <c r="H41" s="27">
        <v>2488</v>
      </c>
      <c r="I41" s="26" t="b">
        <v>0</v>
      </c>
      <c r="J41" s="26" t="b">
        <v>0</v>
      </c>
    </row>
    <row r="42" spans="1:10" ht="14.25" customHeight="1" x14ac:dyDescent="0.3">
      <c r="A42" s="26" t="s">
        <v>188</v>
      </c>
      <c r="B42" s="29" t="s">
        <v>51</v>
      </c>
      <c r="C42" s="30">
        <v>44845</v>
      </c>
      <c r="D42" s="29"/>
      <c r="E42" s="28">
        <v>360000</v>
      </c>
      <c r="F42" s="26">
        <v>3</v>
      </c>
      <c r="G42" s="26">
        <v>2.5</v>
      </c>
      <c r="H42" s="27">
        <v>2330</v>
      </c>
      <c r="I42" s="26" t="b">
        <v>0</v>
      </c>
      <c r="J42" s="26" t="b">
        <v>0</v>
      </c>
    </row>
    <row r="43" spans="1:10" ht="14.25" customHeight="1" x14ac:dyDescent="0.3">
      <c r="B43" s="2"/>
      <c r="C43" s="2"/>
      <c r="D43" s="2"/>
      <c r="E43" s="2"/>
      <c r="F43" s="2"/>
      <c r="G43" s="2"/>
      <c r="H43" s="2"/>
      <c r="I43" s="34"/>
      <c r="J43" s="34"/>
    </row>
    <row r="44" spans="1:10" ht="14.25" customHeight="1" x14ac:dyDescent="0.3">
      <c r="B44" s="2"/>
      <c r="C44" s="2"/>
      <c r="D44" s="2"/>
      <c r="E44" s="2"/>
      <c r="F44" s="2"/>
      <c r="G44" s="2"/>
      <c r="H44" s="2"/>
      <c r="I44" s="2"/>
      <c r="J44" s="2"/>
    </row>
    <row r="45" spans="1:10" ht="14.25" customHeight="1" x14ac:dyDescent="0.3">
      <c r="B45" s="2"/>
      <c r="C45" s="2"/>
      <c r="D45" s="2"/>
      <c r="E45" s="2"/>
      <c r="F45" s="2"/>
      <c r="G45" s="2"/>
      <c r="H45" s="2"/>
      <c r="I45" s="2"/>
      <c r="J45" s="2"/>
    </row>
    <row r="46" spans="1:10" ht="14.25" customHeight="1" x14ac:dyDescent="0.3">
      <c r="B46" s="2"/>
      <c r="C46" s="32"/>
      <c r="D46" s="32"/>
      <c r="E46" s="2"/>
      <c r="F46" s="2"/>
      <c r="G46" s="2"/>
      <c r="H46" s="2"/>
      <c r="I46" s="2"/>
      <c r="J46" s="2"/>
    </row>
    <row r="47" spans="1:10" ht="14.25" customHeight="1" x14ac:dyDescent="0.3">
      <c r="B47" s="2"/>
      <c r="C47" s="2"/>
      <c r="D47" s="2"/>
      <c r="E47" s="2"/>
      <c r="F47" s="2"/>
      <c r="G47" s="2"/>
      <c r="H47" s="2"/>
      <c r="I47" s="2"/>
      <c r="J47" s="2"/>
    </row>
    <row r="48" spans="1:10" ht="14.25" customHeight="1" x14ac:dyDescent="0.3">
      <c r="B48" s="2"/>
      <c r="C48" s="2"/>
      <c r="D48" s="2"/>
      <c r="E48" s="2"/>
      <c r="F48" s="2"/>
      <c r="G48" s="2"/>
      <c r="H48" s="2"/>
      <c r="I48" s="2"/>
      <c r="J48" s="2"/>
    </row>
    <row r="49" spans="2:10" ht="14.25" customHeight="1" x14ac:dyDescent="0.3">
      <c r="B49" s="2"/>
      <c r="C49" s="2"/>
      <c r="D49" s="2"/>
      <c r="E49" s="2"/>
      <c r="F49" s="2"/>
      <c r="G49" s="2"/>
      <c r="H49" s="2"/>
      <c r="I49" s="2"/>
      <c r="J49" s="2"/>
    </row>
    <row r="50" spans="2:10" ht="14.25" customHeight="1" x14ac:dyDescent="0.3">
      <c r="B50" s="2"/>
      <c r="C50" s="2"/>
      <c r="D50" s="2"/>
      <c r="E50" s="2"/>
      <c r="F50" s="2"/>
      <c r="G50" s="2"/>
      <c r="H50" s="2"/>
      <c r="I50" s="2"/>
      <c r="J50" s="2"/>
    </row>
    <row r="51" spans="2:10" ht="14.25" customHeight="1" x14ac:dyDescent="0.3">
      <c r="B51" s="2"/>
      <c r="C51" s="2"/>
      <c r="D51" s="2"/>
      <c r="E51" s="2"/>
      <c r="F51" s="2"/>
      <c r="G51" s="2"/>
      <c r="H51" s="2"/>
      <c r="I51" s="2"/>
      <c r="J51" s="2"/>
    </row>
    <row r="52" spans="2:10" ht="14.25" customHeight="1" x14ac:dyDescent="0.3">
      <c r="B52" s="2"/>
      <c r="C52" s="2"/>
      <c r="D52" s="2"/>
      <c r="E52" s="2"/>
      <c r="F52" s="2"/>
      <c r="G52" s="2"/>
      <c r="H52" s="2"/>
      <c r="I52" s="2"/>
      <c r="J52" s="2"/>
    </row>
    <row r="53" spans="2:10" ht="14.25" customHeight="1" x14ac:dyDescent="0.3">
      <c r="B53" s="2"/>
      <c r="C53" s="2"/>
      <c r="D53" s="2"/>
      <c r="E53" s="2"/>
      <c r="F53" s="2"/>
      <c r="G53" s="2"/>
      <c r="H53" s="2"/>
      <c r="I53" s="2"/>
      <c r="J53" s="2"/>
    </row>
    <row r="54" spans="2:10" ht="14.25" customHeight="1" x14ac:dyDescent="0.3">
      <c r="B54" s="2"/>
      <c r="C54" s="2"/>
      <c r="D54" s="2"/>
      <c r="E54" s="2"/>
      <c r="F54" s="2"/>
      <c r="G54" s="2"/>
      <c r="H54" s="2"/>
      <c r="I54" s="2"/>
      <c r="J54" s="2"/>
    </row>
    <row r="55" spans="2:10" ht="14.25" customHeight="1" x14ac:dyDescent="0.3">
      <c r="B55" s="2"/>
      <c r="C55" s="2"/>
      <c r="D55" s="2"/>
      <c r="E55" s="2"/>
      <c r="F55" s="2"/>
      <c r="G55" s="2"/>
      <c r="H55" s="2"/>
      <c r="I55" s="2"/>
      <c r="J55" s="2"/>
    </row>
    <row r="56" spans="2:10" ht="14.25" customHeight="1" x14ac:dyDescent="0.3">
      <c r="B56" s="2"/>
      <c r="C56" s="2"/>
      <c r="D56" s="2"/>
      <c r="E56" s="2"/>
      <c r="F56" s="2"/>
      <c r="G56" s="2"/>
      <c r="H56" s="2"/>
      <c r="I56" s="2"/>
      <c r="J56" s="2"/>
    </row>
    <row r="57" spans="2:10" ht="14.25" customHeight="1" x14ac:dyDescent="0.3">
      <c r="B57" s="2"/>
      <c r="C57" s="2"/>
      <c r="D57" s="2"/>
      <c r="E57" s="2"/>
      <c r="F57" s="2"/>
      <c r="G57" s="2"/>
      <c r="H57" s="2"/>
      <c r="I57" s="2"/>
      <c r="J57" s="2"/>
    </row>
    <row r="58" spans="2:10" ht="14.25" customHeight="1" x14ac:dyDescent="0.3">
      <c r="B58" s="2"/>
      <c r="C58" s="2"/>
      <c r="D58" s="2"/>
      <c r="E58" s="2"/>
      <c r="F58" s="2"/>
      <c r="G58" s="2"/>
      <c r="H58" s="2"/>
      <c r="I58" s="2"/>
      <c r="J58" s="2"/>
    </row>
    <row r="59" spans="2:10" ht="14.25" customHeight="1" x14ac:dyDescent="0.3">
      <c r="B59" s="2"/>
      <c r="C59" s="2"/>
      <c r="D59" s="2"/>
      <c r="E59" s="2"/>
      <c r="F59" s="2"/>
      <c r="G59" s="2"/>
      <c r="H59" s="2"/>
      <c r="I59" s="2"/>
      <c r="J59" s="2"/>
    </row>
    <row r="60" spans="2:10" ht="14.25" customHeight="1" x14ac:dyDescent="0.3">
      <c r="B60" s="2"/>
      <c r="C60" s="2"/>
      <c r="D60" s="2"/>
      <c r="E60" s="2"/>
      <c r="F60" s="2"/>
      <c r="G60" s="2"/>
      <c r="H60" s="2"/>
      <c r="I60" s="2"/>
      <c r="J60" s="2"/>
    </row>
    <row r="61" spans="2:10" ht="14.25" customHeight="1" x14ac:dyDescent="0.3">
      <c r="B61" s="2"/>
      <c r="C61" s="2"/>
      <c r="D61" s="2"/>
      <c r="E61" s="2"/>
      <c r="F61" s="2"/>
      <c r="G61" s="2"/>
      <c r="H61" s="2"/>
      <c r="I61" s="2"/>
      <c r="J61" s="2"/>
    </row>
    <row r="62" spans="2:10" ht="14.25" customHeight="1" x14ac:dyDescent="0.3">
      <c r="B62" s="2"/>
      <c r="C62" s="2"/>
      <c r="D62" s="2"/>
      <c r="E62" s="2"/>
      <c r="F62" s="2"/>
      <c r="G62" s="2"/>
      <c r="H62" s="2"/>
      <c r="I62" s="2"/>
      <c r="J62" s="2"/>
    </row>
    <row r="63" spans="2:10" ht="14.25" customHeight="1" x14ac:dyDescent="0.3">
      <c r="B63" s="2"/>
      <c r="C63" s="2"/>
      <c r="D63" s="2"/>
      <c r="E63" s="2"/>
      <c r="F63" s="2"/>
      <c r="G63" s="2"/>
      <c r="H63" s="2"/>
      <c r="I63" s="2"/>
      <c r="J63" s="2"/>
    </row>
    <row r="64" spans="2:10" ht="14.25" customHeight="1" x14ac:dyDescent="0.3">
      <c r="B64" s="2"/>
      <c r="C64" s="2"/>
      <c r="D64" s="2"/>
      <c r="E64" s="2"/>
      <c r="F64" s="2"/>
      <c r="G64" s="2"/>
      <c r="H64" s="2"/>
      <c r="I64" s="2"/>
      <c r="J64" s="2"/>
    </row>
    <row r="65" spans="2:10" ht="14.25" customHeight="1" x14ac:dyDescent="0.3">
      <c r="B65" s="2"/>
      <c r="C65" s="2"/>
      <c r="D65" s="2"/>
      <c r="E65" s="2"/>
      <c r="F65" s="2"/>
      <c r="G65" s="2"/>
      <c r="H65" s="2"/>
      <c r="I65" s="2"/>
      <c r="J65" s="2"/>
    </row>
    <row r="66" spans="2:10" ht="14.25" customHeight="1" x14ac:dyDescent="0.3">
      <c r="B66" s="2"/>
      <c r="C66" s="2"/>
      <c r="D66" s="2"/>
      <c r="E66" s="2"/>
      <c r="F66" s="2"/>
      <c r="G66" s="2"/>
      <c r="H66" s="2"/>
      <c r="I66" s="2"/>
      <c r="J66" s="2"/>
    </row>
    <row r="67" spans="2:10" ht="14.25" customHeight="1" x14ac:dyDescent="0.3">
      <c r="B67" s="2"/>
      <c r="C67" s="2"/>
      <c r="D67" s="2"/>
      <c r="E67" s="2"/>
      <c r="F67" s="2"/>
      <c r="G67" s="2"/>
      <c r="H67" s="2"/>
      <c r="I67" s="2"/>
      <c r="J67" s="2"/>
    </row>
    <row r="68" spans="2:10" ht="14.25" customHeight="1" x14ac:dyDescent="0.3">
      <c r="B68" s="2"/>
      <c r="C68" s="2"/>
      <c r="D68" s="2"/>
      <c r="E68" s="2"/>
      <c r="F68" s="2"/>
      <c r="G68" s="2"/>
      <c r="H68" s="2"/>
      <c r="I68" s="2"/>
      <c r="J68" s="2"/>
    </row>
    <row r="69" spans="2:10" ht="14.25" customHeight="1" x14ac:dyDescent="0.3">
      <c r="B69" s="2"/>
      <c r="C69" s="2"/>
      <c r="D69" s="2"/>
      <c r="E69" s="2"/>
      <c r="F69" s="2"/>
      <c r="G69" s="2"/>
      <c r="H69" s="2"/>
      <c r="I69" s="2"/>
      <c r="J69" s="2"/>
    </row>
    <row r="70" spans="2:10" ht="14.25" customHeight="1" x14ac:dyDescent="0.3">
      <c r="B70" s="2"/>
      <c r="C70" s="2"/>
      <c r="D70" s="2"/>
      <c r="E70" s="2"/>
      <c r="F70" s="2"/>
      <c r="G70" s="2"/>
      <c r="H70" s="2"/>
      <c r="I70" s="2"/>
      <c r="J70" s="2"/>
    </row>
    <row r="71" spans="2:10" ht="14.25" customHeight="1" x14ac:dyDescent="0.3">
      <c r="B71" s="2"/>
      <c r="C71" s="2"/>
      <c r="D71" s="2"/>
      <c r="E71" s="2"/>
      <c r="F71" s="2"/>
      <c r="G71" s="2"/>
      <c r="H71" s="2"/>
      <c r="I71" s="2"/>
      <c r="J71" s="2"/>
    </row>
    <row r="72" spans="2:10" ht="14.25" customHeight="1" x14ac:dyDescent="0.3">
      <c r="B72" s="2"/>
      <c r="C72" s="2"/>
      <c r="D72" s="2"/>
      <c r="E72" s="2"/>
      <c r="F72" s="2"/>
      <c r="G72" s="2"/>
      <c r="H72" s="2"/>
      <c r="I72" s="2"/>
      <c r="J72" s="2"/>
    </row>
    <row r="73" spans="2:10" ht="14.25" customHeight="1" x14ac:dyDescent="0.3">
      <c r="B73" s="2"/>
      <c r="C73" s="2"/>
      <c r="D73" s="2"/>
      <c r="E73" s="2"/>
      <c r="F73" s="2"/>
      <c r="G73" s="2"/>
      <c r="H73" s="2"/>
      <c r="I73" s="2"/>
      <c r="J73" s="2"/>
    </row>
    <row r="74" spans="2:10" ht="14.25" customHeight="1" x14ac:dyDescent="0.3">
      <c r="B74" s="2"/>
      <c r="C74" s="2"/>
      <c r="D74" s="2"/>
      <c r="E74" s="2"/>
      <c r="F74" s="2"/>
      <c r="G74" s="2"/>
      <c r="H74" s="2"/>
      <c r="I74" s="2"/>
      <c r="J74" s="2"/>
    </row>
    <row r="75" spans="2:10" ht="14.25" customHeight="1" x14ac:dyDescent="0.3">
      <c r="B75" s="2"/>
      <c r="C75" s="2"/>
      <c r="D75" s="2"/>
      <c r="E75" s="2"/>
      <c r="F75" s="2"/>
      <c r="G75" s="2"/>
      <c r="H75" s="2"/>
      <c r="I75" s="2"/>
      <c r="J75" s="2"/>
    </row>
    <row r="76" spans="2:10" ht="14.25" customHeight="1" x14ac:dyDescent="0.3">
      <c r="B76" s="2"/>
      <c r="C76" s="2"/>
      <c r="D76" s="2"/>
      <c r="E76" s="2"/>
      <c r="F76" s="2"/>
      <c r="G76" s="2"/>
      <c r="H76" s="2"/>
      <c r="I76" s="2"/>
      <c r="J76" s="2"/>
    </row>
    <row r="77" spans="2:10" ht="14.25" customHeight="1" x14ac:dyDescent="0.3">
      <c r="B77" s="2"/>
      <c r="C77" s="2"/>
      <c r="D77" s="2"/>
      <c r="E77" s="2"/>
      <c r="F77" s="2"/>
      <c r="G77" s="2"/>
      <c r="H77" s="2"/>
      <c r="I77" s="2"/>
      <c r="J77" s="2"/>
    </row>
    <row r="78" spans="2:10" ht="14.25" customHeight="1" x14ac:dyDescent="0.3">
      <c r="B78" s="2"/>
      <c r="C78" s="2"/>
      <c r="D78" s="2"/>
      <c r="E78" s="2"/>
      <c r="F78" s="2"/>
      <c r="G78" s="2"/>
      <c r="H78" s="2"/>
      <c r="I78" s="2"/>
      <c r="J78" s="2"/>
    </row>
    <row r="79" spans="2:10" ht="14.25" customHeight="1" x14ac:dyDescent="0.3">
      <c r="B79" s="2"/>
      <c r="C79" s="2"/>
      <c r="D79" s="2"/>
      <c r="E79" s="2"/>
      <c r="F79" s="2"/>
      <c r="G79" s="2"/>
      <c r="H79" s="2"/>
      <c r="I79" s="2"/>
      <c r="J79" s="2"/>
    </row>
    <row r="80" spans="2:10" ht="14.25" customHeight="1" x14ac:dyDescent="0.3">
      <c r="B80" s="2"/>
      <c r="C80" s="2"/>
      <c r="D80" s="2"/>
      <c r="E80" s="2"/>
      <c r="F80" s="2"/>
      <c r="G80" s="2"/>
      <c r="H80" s="2"/>
      <c r="I80" s="2"/>
      <c r="J80" s="2"/>
    </row>
    <row r="81" spans="2:10" ht="14.25" customHeight="1" x14ac:dyDescent="0.3">
      <c r="B81" s="2"/>
      <c r="C81" s="2"/>
      <c r="D81" s="2"/>
      <c r="E81" s="2"/>
      <c r="F81" s="2"/>
      <c r="G81" s="2"/>
      <c r="H81" s="2"/>
      <c r="I81" s="2"/>
      <c r="J81" s="2"/>
    </row>
    <row r="82" spans="2:10" ht="14.25" customHeight="1" x14ac:dyDescent="0.3">
      <c r="B82" s="2"/>
      <c r="C82" s="2"/>
      <c r="D82" s="2"/>
      <c r="E82" s="2"/>
      <c r="F82" s="2"/>
      <c r="G82" s="2"/>
      <c r="H82" s="2"/>
      <c r="I82" s="2"/>
      <c r="J82" s="2"/>
    </row>
    <row r="83" spans="2:10" ht="14.25" customHeight="1" x14ac:dyDescent="0.3">
      <c r="B83" s="2"/>
      <c r="C83" s="2"/>
      <c r="D83" s="2"/>
      <c r="E83" s="2"/>
      <c r="F83" s="2"/>
      <c r="G83" s="2"/>
      <c r="H83" s="2"/>
      <c r="I83" s="2"/>
      <c r="J83" s="2"/>
    </row>
    <row r="84" spans="2:10" ht="14.25" customHeight="1" x14ac:dyDescent="0.3">
      <c r="B84" s="2"/>
      <c r="C84" s="2"/>
      <c r="D84" s="2"/>
      <c r="E84" s="2"/>
      <c r="F84" s="2"/>
      <c r="G84" s="2"/>
      <c r="H84" s="2"/>
      <c r="I84" s="2"/>
      <c r="J84" s="2"/>
    </row>
    <row r="85" spans="2:10" ht="14.25" customHeight="1" x14ac:dyDescent="0.3">
      <c r="B85" s="2"/>
      <c r="C85" s="2"/>
      <c r="D85" s="2"/>
      <c r="E85" s="2"/>
      <c r="F85" s="2"/>
      <c r="G85" s="2"/>
      <c r="H85" s="2"/>
      <c r="I85" s="2"/>
      <c r="J85" s="2"/>
    </row>
    <row r="86" spans="2:10" ht="14.25" customHeight="1" x14ac:dyDescent="0.3">
      <c r="B86" s="2"/>
      <c r="C86" s="2"/>
      <c r="D86" s="2"/>
      <c r="E86" s="2"/>
      <c r="F86" s="2"/>
      <c r="G86" s="2"/>
      <c r="H86" s="2"/>
      <c r="I86" s="2"/>
      <c r="J86" s="2"/>
    </row>
    <row r="87" spans="2:10" ht="14.25" customHeight="1" x14ac:dyDescent="0.3">
      <c r="B87" s="2"/>
      <c r="C87" s="2"/>
      <c r="D87" s="2"/>
      <c r="E87" s="2"/>
      <c r="F87" s="2"/>
      <c r="G87" s="2"/>
      <c r="H87" s="2"/>
      <c r="I87" s="2"/>
      <c r="J87" s="2"/>
    </row>
    <row r="88" spans="2:10" ht="14.25" customHeight="1" x14ac:dyDescent="0.3">
      <c r="B88" s="2"/>
      <c r="C88" s="2"/>
      <c r="D88" s="2"/>
      <c r="E88" s="2"/>
      <c r="F88" s="2"/>
      <c r="G88" s="2"/>
      <c r="H88" s="2"/>
      <c r="I88" s="2"/>
      <c r="J88" s="2"/>
    </row>
    <row r="89" spans="2:10" ht="14.25" customHeight="1" x14ac:dyDescent="0.3">
      <c r="B89" s="2"/>
      <c r="C89" s="2"/>
      <c r="D89" s="2"/>
      <c r="E89" s="2"/>
      <c r="F89" s="2"/>
      <c r="G89" s="2"/>
      <c r="H89" s="2"/>
      <c r="I89" s="2"/>
      <c r="J89" s="2"/>
    </row>
    <row r="90" spans="2:10" ht="14.25" customHeight="1" x14ac:dyDescent="0.3">
      <c r="B90" s="2"/>
      <c r="C90" s="2"/>
      <c r="D90" s="2"/>
      <c r="E90" s="2"/>
      <c r="F90" s="2"/>
      <c r="G90" s="2"/>
      <c r="H90" s="2"/>
      <c r="I90" s="2"/>
      <c r="J90" s="2"/>
    </row>
    <row r="91" spans="2:10" ht="14.25" customHeight="1" x14ac:dyDescent="0.3">
      <c r="B91" s="2"/>
      <c r="C91" s="2"/>
      <c r="D91" s="2"/>
      <c r="E91" s="2"/>
      <c r="F91" s="2"/>
      <c r="G91" s="2"/>
      <c r="H91" s="2"/>
      <c r="I91" s="2"/>
      <c r="J91" s="2"/>
    </row>
    <row r="92" spans="2:10" ht="14.25" customHeight="1" x14ac:dyDescent="0.3">
      <c r="B92" s="2"/>
      <c r="C92" s="2"/>
      <c r="D92" s="2"/>
      <c r="E92" s="2"/>
      <c r="F92" s="2"/>
      <c r="G92" s="2"/>
      <c r="H92" s="2"/>
      <c r="I92" s="2"/>
      <c r="J92" s="2"/>
    </row>
    <row r="93" spans="2:10" ht="14.25" customHeight="1" x14ac:dyDescent="0.3">
      <c r="B93" s="2"/>
      <c r="C93" s="2"/>
      <c r="D93" s="2"/>
      <c r="E93" s="2"/>
      <c r="F93" s="2"/>
      <c r="G93" s="2"/>
      <c r="H93" s="2"/>
      <c r="I93" s="2"/>
      <c r="J93" s="2"/>
    </row>
    <row r="94" spans="2:10" ht="14.25" customHeight="1" x14ac:dyDescent="0.3">
      <c r="B94" s="2"/>
      <c r="C94" s="2"/>
      <c r="D94" s="2"/>
      <c r="E94" s="2"/>
      <c r="F94" s="2"/>
      <c r="G94" s="2"/>
      <c r="H94" s="2"/>
      <c r="I94" s="2"/>
      <c r="J94" s="2"/>
    </row>
    <row r="95" spans="2:10" ht="14.25" customHeight="1" x14ac:dyDescent="0.3">
      <c r="B95" s="2"/>
      <c r="C95" s="2"/>
      <c r="D95" s="2"/>
      <c r="E95" s="2"/>
      <c r="F95" s="2"/>
      <c r="G95" s="2"/>
      <c r="H95" s="2"/>
      <c r="I95" s="2"/>
      <c r="J95" s="2"/>
    </row>
    <row r="96" spans="2:10" ht="14.25" customHeight="1" x14ac:dyDescent="0.3">
      <c r="B96" s="2"/>
      <c r="C96" s="2"/>
      <c r="D96" s="2"/>
      <c r="E96" s="2"/>
      <c r="F96" s="2"/>
      <c r="G96" s="2"/>
      <c r="H96" s="2"/>
      <c r="I96" s="2"/>
      <c r="J96" s="2"/>
    </row>
    <row r="97" spans="2:10" ht="14.25" customHeight="1" x14ac:dyDescent="0.3">
      <c r="B97" s="2"/>
      <c r="C97" s="2"/>
      <c r="D97" s="2"/>
      <c r="E97" s="2"/>
      <c r="F97" s="2"/>
      <c r="G97" s="2"/>
      <c r="H97" s="2"/>
      <c r="I97" s="2"/>
      <c r="J97" s="2"/>
    </row>
    <row r="98" spans="2:10" ht="14.25" customHeight="1" x14ac:dyDescent="0.3">
      <c r="B98" s="2"/>
      <c r="C98" s="2"/>
      <c r="D98" s="2"/>
      <c r="E98" s="2"/>
      <c r="F98" s="2"/>
      <c r="G98" s="2"/>
      <c r="H98" s="2"/>
      <c r="I98" s="2"/>
      <c r="J98" s="2"/>
    </row>
    <row r="99" spans="2:10" ht="14.25" customHeight="1" x14ac:dyDescent="0.3">
      <c r="B99" s="2"/>
      <c r="C99" s="2"/>
      <c r="D99" s="2"/>
      <c r="E99" s="2"/>
      <c r="F99" s="2"/>
      <c r="G99" s="2"/>
      <c r="H99" s="2"/>
      <c r="I99" s="2"/>
      <c r="J99" s="2"/>
    </row>
    <row r="100" spans="2:10" ht="14.25" customHeight="1" x14ac:dyDescent="0.3">
      <c r="B100" s="2"/>
      <c r="C100" s="2"/>
      <c r="D100" s="2"/>
      <c r="E100" s="2"/>
      <c r="F100" s="2"/>
      <c r="G100" s="2"/>
      <c r="H100" s="2"/>
      <c r="I100" s="2"/>
      <c r="J100" s="2"/>
    </row>
    <row r="101" spans="2:10" ht="14.25" customHeight="1" x14ac:dyDescent="0.3">
      <c r="B101" s="2"/>
      <c r="C101" s="2"/>
      <c r="D101" s="2"/>
      <c r="E101" s="2"/>
      <c r="F101" s="2"/>
      <c r="G101" s="2"/>
      <c r="H101" s="2"/>
      <c r="I101" s="2"/>
      <c r="J101" s="2"/>
    </row>
    <row r="102" spans="2:10" ht="14.25" customHeight="1" x14ac:dyDescent="0.3">
      <c r="B102" s="2"/>
      <c r="C102" s="2"/>
      <c r="D102" s="2"/>
      <c r="E102" s="2"/>
      <c r="F102" s="2"/>
      <c r="G102" s="2"/>
      <c r="H102" s="2"/>
      <c r="I102" s="2"/>
      <c r="J102" s="2"/>
    </row>
    <row r="103" spans="2:10" ht="14.25" customHeight="1" x14ac:dyDescent="0.3">
      <c r="B103" s="2"/>
      <c r="C103" s="2"/>
      <c r="D103" s="2"/>
      <c r="E103" s="2"/>
      <c r="F103" s="2"/>
      <c r="G103" s="2"/>
      <c r="H103" s="2"/>
      <c r="I103" s="2"/>
      <c r="J103" s="2"/>
    </row>
    <row r="104" spans="2:10" ht="14.25" customHeight="1" x14ac:dyDescent="0.3">
      <c r="B104" s="2"/>
      <c r="C104" s="2"/>
      <c r="D104" s="2"/>
      <c r="E104" s="2"/>
      <c r="F104" s="2"/>
      <c r="G104" s="2"/>
      <c r="H104" s="2"/>
      <c r="I104" s="2"/>
      <c r="J104" s="2"/>
    </row>
    <row r="105" spans="2:10" ht="14.25" customHeight="1" x14ac:dyDescent="0.3">
      <c r="B105" s="2"/>
      <c r="C105" s="2"/>
      <c r="D105" s="2"/>
      <c r="E105" s="2"/>
      <c r="F105" s="2"/>
      <c r="G105" s="2"/>
      <c r="H105" s="2"/>
      <c r="I105" s="2"/>
      <c r="J105" s="2"/>
    </row>
    <row r="106" spans="2:10" ht="14.25" customHeight="1" x14ac:dyDescent="0.3">
      <c r="B106" s="2"/>
      <c r="C106" s="2"/>
      <c r="D106" s="2"/>
      <c r="E106" s="2"/>
      <c r="F106" s="2"/>
      <c r="G106" s="2"/>
      <c r="H106" s="2"/>
      <c r="I106" s="2"/>
      <c r="J106" s="2"/>
    </row>
    <row r="107" spans="2:10" ht="14.25" customHeight="1" x14ac:dyDescent="0.3">
      <c r="B107" s="2"/>
      <c r="C107" s="2"/>
      <c r="D107" s="2"/>
      <c r="E107" s="2"/>
      <c r="F107" s="2"/>
      <c r="G107" s="2"/>
      <c r="H107" s="2"/>
      <c r="I107" s="2"/>
      <c r="J107" s="2"/>
    </row>
    <row r="108" spans="2:10" ht="14.25" customHeight="1" x14ac:dyDescent="0.3">
      <c r="B108" s="2"/>
      <c r="C108" s="2"/>
      <c r="D108" s="2"/>
      <c r="E108" s="2"/>
      <c r="F108" s="2"/>
      <c r="G108" s="2"/>
      <c r="H108" s="2"/>
      <c r="I108" s="2"/>
      <c r="J108" s="2"/>
    </row>
    <row r="109" spans="2:10" ht="14.25" customHeight="1" x14ac:dyDescent="0.3">
      <c r="B109" s="2"/>
      <c r="C109" s="2"/>
      <c r="D109" s="2"/>
      <c r="E109" s="2"/>
      <c r="F109" s="2"/>
      <c r="G109" s="2"/>
      <c r="H109" s="2"/>
      <c r="I109" s="2"/>
      <c r="J109" s="2"/>
    </row>
    <row r="110" spans="2:10" ht="14.25" customHeight="1" x14ac:dyDescent="0.3">
      <c r="B110" s="2"/>
      <c r="C110" s="2"/>
      <c r="D110" s="2"/>
      <c r="E110" s="2"/>
      <c r="F110" s="2"/>
      <c r="G110" s="2"/>
      <c r="H110" s="2"/>
      <c r="I110" s="2"/>
      <c r="J110" s="2"/>
    </row>
    <row r="111" spans="2:10" ht="14.25" customHeight="1" x14ac:dyDescent="0.3">
      <c r="B111" s="2"/>
      <c r="C111" s="2"/>
      <c r="D111" s="2"/>
      <c r="E111" s="2"/>
      <c r="F111" s="2"/>
      <c r="G111" s="2"/>
      <c r="H111" s="2"/>
      <c r="I111" s="2"/>
      <c r="J111" s="2"/>
    </row>
    <row r="112" spans="2:10" ht="14.25" customHeight="1" x14ac:dyDescent="0.3">
      <c r="B112" s="2"/>
      <c r="C112" s="2"/>
      <c r="D112" s="2"/>
      <c r="E112" s="2"/>
      <c r="F112" s="2"/>
      <c r="G112" s="2"/>
      <c r="H112" s="2"/>
      <c r="I112" s="2"/>
      <c r="J112" s="2"/>
    </row>
    <row r="113" spans="2:10" ht="14.25" customHeight="1" x14ac:dyDescent="0.3">
      <c r="B113" s="2"/>
      <c r="C113" s="2"/>
      <c r="D113" s="2"/>
      <c r="E113" s="2"/>
      <c r="F113" s="2"/>
      <c r="G113" s="2"/>
      <c r="H113" s="2"/>
      <c r="I113" s="2"/>
      <c r="J113" s="2"/>
    </row>
    <row r="114" spans="2:10" ht="14.25" customHeight="1" x14ac:dyDescent="0.3">
      <c r="B114" s="2"/>
      <c r="C114" s="2"/>
      <c r="D114" s="2"/>
      <c r="E114" s="2"/>
      <c r="F114" s="2"/>
      <c r="G114" s="2"/>
      <c r="H114" s="2"/>
      <c r="I114" s="2"/>
      <c r="J114" s="2"/>
    </row>
    <row r="115" spans="2:10" ht="14.25" customHeight="1" x14ac:dyDescent="0.3">
      <c r="B115" s="2"/>
      <c r="C115" s="2"/>
      <c r="D115" s="2"/>
      <c r="E115" s="2"/>
      <c r="F115" s="2"/>
      <c r="G115" s="2"/>
      <c r="H115" s="2"/>
      <c r="I115" s="2"/>
      <c r="J115" s="2"/>
    </row>
    <row r="116" spans="2:10" ht="14.25" customHeight="1" x14ac:dyDescent="0.3">
      <c r="B116" s="2"/>
      <c r="C116" s="2"/>
      <c r="D116" s="2"/>
      <c r="E116" s="2"/>
      <c r="F116" s="2"/>
      <c r="G116" s="2"/>
      <c r="H116" s="2"/>
      <c r="I116" s="2"/>
      <c r="J116" s="2"/>
    </row>
    <row r="117" spans="2:10" ht="14.25" customHeight="1" x14ac:dyDescent="0.3">
      <c r="B117" s="2"/>
      <c r="C117" s="2"/>
      <c r="D117" s="2"/>
      <c r="E117" s="2"/>
      <c r="F117" s="2"/>
      <c r="G117" s="2"/>
      <c r="H117" s="2"/>
      <c r="I117" s="2"/>
      <c r="J117" s="2"/>
    </row>
    <row r="118" spans="2:10" ht="14.25" customHeight="1" x14ac:dyDescent="0.3">
      <c r="B118" s="2"/>
      <c r="C118" s="2"/>
      <c r="D118" s="2"/>
      <c r="E118" s="2"/>
      <c r="F118" s="2"/>
      <c r="G118" s="2"/>
      <c r="H118" s="2"/>
      <c r="I118" s="2"/>
      <c r="J118" s="2"/>
    </row>
    <row r="119" spans="2:10" ht="14.25" customHeight="1" x14ac:dyDescent="0.3">
      <c r="B119" s="2"/>
      <c r="C119" s="2"/>
      <c r="D119" s="2"/>
      <c r="E119" s="2"/>
      <c r="F119" s="2"/>
      <c r="G119" s="2"/>
      <c r="H119" s="2"/>
      <c r="I119" s="2"/>
      <c r="J119" s="2"/>
    </row>
    <row r="120" spans="2:10" ht="14.25" customHeight="1" x14ac:dyDescent="0.3">
      <c r="B120" s="2"/>
      <c r="C120" s="2"/>
      <c r="D120" s="2"/>
      <c r="E120" s="2"/>
      <c r="F120" s="2"/>
      <c r="G120" s="2"/>
      <c r="H120" s="2"/>
      <c r="I120" s="2"/>
      <c r="J120" s="2"/>
    </row>
    <row r="121" spans="2:10" ht="14.25" customHeight="1" x14ac:dyDescent="0.3">
      <c r="B121" s="2"/>
      <c r="C121" s="2"/>
      <c r="D121" s="2"/>
      <c r="E121" s="2"/>
      <c r="F121" s="2"/>
      <c r="G121" s="2"/>
      <c r="H121" s="2"/>
      <c r="I121" s="2"/>
      <c r="J121" s="2"/>
    </row>
    <row r="122" spans="2:10" ht="14.25" customHeight="1" x14ac:dyDescent="0.3">
      <c r="B122" s="2"/>
      <c r="C122" s="2"/>
      <c r="D122" s="2"/>
      <c r="E122" s="2"/>
      <c r="F122" s="2"/>
      <c r="G122" s="2"/>
      <c r="H122" s="2"/>
      <c r="I122" s="2"/>
      <c r="J122" s="2"/>
    </row>
    <row r="123" spans="2:10" ht="14.25" customHeight="1" x14ac:dyDescent="0.3">
      <c r="B123" s="2"/>
      <c r="C123" s="2"/>
      <c r="D123" s="2"/>
      <c r="E123" s="2"/>
      <c r="F123" s="2"/>
      <c r="G123" s="2"/>
      <c r="H123" s="2"/>
      <c r="I123" s="2"/>
      <c r="J123" s="2"/>
    </row>
    <row r="124" spans="2:10" ht="14.25" customHeight="1" x14ac:dyDescent="0.3">
      <c r="B124" s="2"/>
      <c r="C124" s="2"/>
      <c r="D124" s="2"/>
      <c r="E124" s="2"/>
      <c r="F124" s="2"/>
      <c r="G124" s="2"/>
      <c r="H124" s="2"/>
      <c r="I124" s="2"/>
      <c r="J124" s="2"/>
    </row>
    <row r="125" spans="2:10" ht="14.25" customHeight="1" x14ac:dyDescent="0.3">
      <c r="B125" s="2"/>
      <c r="C125" s="2"/>
      <c r="D125" s="2"/>
      <c r="E125" s="2"/>
      <c r="F125" s="2"/>
      <c r="G125" s="2"/>
      <c r="H125" s="2"/>
      <c r="I125" s="2"/>
      <c r="J125" s="2"/>
    </row>
    <row r="126" spans="2:10" ht="14.25" customHeight="1" x14ac:dyDescent="0.3">
      <c r="B126" s="2"/>
      <c r="C126" s="2"/>
      <c r="D126" s="2"/>
      <c r="E126" s="2"/>
      <c r="F126" s="2"/>
      <c r="G126" s="2"/>
      <c r="H126" s="2"/>
      <c r="I126" s="2"/>
      <c r="J126" s="2"/>
    </row>
    <row r="127" spans="2:10" ht="14.25" customHeight="1" x14ac:dyDescent="0.3">
      <c r="B127" s="2"/>
      <c r="C127" s="2"/>
      <c r="D127" s="2"/>
      <c r="E127" s="2"/>
      <c r="F127" s="2"/>
      <c r="G127" s="2"/>
      <c r="H127" s="2"/>
      <c r="I127" s="2"/>
      <c r="J127" s="2"/>
    </row>
    <row r="128" spans="2:10" ht="14.25" customHeight="1" x14ac:dyDescent="0.3">
      <c r="B128" s="2"/>
      <c r="C128" s="2"/>
      <c r="D128" s="2"/>
      <c r="E128" s="2"/>
      <c r="F128" s="2"/>
      <c r="G128" s="2"/>
      <c r="H128" s="2"/>
      <c r="I128" s="2"/>
      <c r="J128" s="2"/>
    </row>
    <row r="129" spans="2:10" ht="14.25" customHeight="1" x14ac:dyDescent="0.3">
      <c r="B129" s="2"/>
      <c r="C129" s="2"/>
      <c r="D129" s="2"/>
      <c r="E129" s="2"/>
      <c r="F129" s="2"/>
      <c r="G129" s="2"/>
      <c r="H129" s="2"/>
      <c r="I129" s="2"/>
      <c r="J129" s="2"/>
    </row>
    <row r="130" spans="2:10" ht="14.25" customHeight="1" x14ac:dyDescent="0.3">
      <c r="B130" s="2"/>
      <c r="C130" s="2"/>
      <c r="D130" s="2"/>
      <c r="E130" s="2"/>
      <c r="F130" s="2"/>
      <c r="G130" s="2"/>
      <c r="H130" s="2"/>
      <c r="I130" s="2"/>
      <c r="J130" s="2"/>
    </row>
    <row r="131" spans="2:10" ht="14.25" customHeight="1" x14ac:dyDescent="0.3">
      <c r="B131" s="2"/>
      <c r="C131" s="2"/>
      <c r="D131" s="2"/>
      <c r="E131" s="2"/>
      <c r="F131" s="2"/>
      <c r="G131" s="2"/>
      <c r="H131" s="2"/>
      <c r="I131" s="2"/>
      <c r="J131" s="2"/>
    </row>
    <row r="132" spans="2:10" ht="14.25" customHeight="1" x14ac:dyDescent="0.3">
      <c r="B132" s="2"/>
      <c r="C132" s="2"/>
      <c r="D132" s="2"/>
      <c r="E132" s="2"/>
      <c r="F132" s="2"/>
      <c r="G132" s="2"/>
      <c r="H132" s="2"/>
      <c r="I132" s="2"/>
      <c r="J132" s="2"/>
    </row>
    <row r="133" spans="2:10" ht="14.25" customHeight="1" x14ac:dyDescent="0.3">
      <c r="B133" s="2"/>
      <c r="C133" s="2"/>
      <c r="D133" s="2"/>
      <c r="E133" s="2"/>
      <c r="F133" s="2"/>
      <c r="G133" s="2"/>
      <c r="H133" s="2"/>
      <c r="I133" s="2"/>
      <c r="J133" s="2"/>
    </row>
    <row r="134" spans="2:10" ht="14.25" customHeight="1" x14ac:dyDescent="0.3">
      <c r="B134" s="2"/>
      <c r="C134" s="2"/>
      <c r="D134" s="2"/>
      <c r="E134" s="2"/>
      <c r="F134" s="2"/>
      <c r="G134" s="2"/>
      <c r="H134" s="2"/>
      <c r="I134" s="2"/>
      <c r="J134" s="2"/>
    </row>
    <row r="135" spans="2:10" ht="14.25" customHeight="1" x14ac:dyDescent="0.3">
      <c r="B135" s="2"/>
      <c r="C135" s="2"/>
      <c r="D135" s="2"/>
      <c r="E135" s="2"/>
      <c r="F135" s="2"/>
      <c r="G135" s="2"/>
      <c r="H135" s="2"/>
      <c r="I135" s="2"/>
      <c r="J135" s="2"/>
    </row>
    <row r="136" spans="2:10" ht="14.25" customHeight="1" x14ac:dyDescent="0.3">
      <c r="B136" s="2"/>
      <c r="C136" s="2"/>
      <c r="D136" s="2"/>
      <c r="E136" s="2"/>
      <c r="F136" s="2"/>
      <c r="G136" s="2"/>
      <c r="H136" s="2"/>
      <c r="I136" s="2"/>
      <c r="J136" s="2"/>
    </row>
    <row r="137" spans="2:10" ht="14.25" customHeight="1" x14ac:dyDescent="0.3">
      <c r="B137" s="2"/>
      <c r="C137" s="2"/>
      <c r="D137" s="2"/>
      <c r="E137" s="2"/>
      <c r="F137" s="2"/>
      <c r="G137" s="2"/>
      <c r="H137" s="2"/>
      <c r="I137" s="2"/>
      <c r="J137" s="2"/>
    </row>
    <row r="138" spans="2:10" ht="14.25" customHeight="1" x14ac:dyDescent="0.3">
      <c r="B138" s="2"/>
      <c r="C138" s="2"/>
      <c r="D138" s="2"/>
      <c r="E138" s="2"/>
      <c r="F138" s="2"/>
      <c r="G138" s="2"/>
      <c r="H138" s="2"/>
      <c r="I138" s="2"/>
      <c r="J138" s="2"/>
    </row>
    <row r="139" spans="2:10" ht="14.25" customHeight="1" x14ac:dyDescent="0.3">
      <c r="B139" s="2"/>
      <c r="C139" s="2"/>
      <c r="D139" s="2"/>
      <c r="E139" s="2"/>
      <c r="F139" s="2"/>
      <c r="G139" s="2"/>
      <c r="H139" s="2"/>
      <c r="I139" s="2"/>
      <c r="J139" s="2"/>
    </row>
    <row r="140" spans="2:10" ht="14.25" customHeight="1" x14ac:dyDescent="0.3">
      <c r="B140" s="2"/>
      <c r="C140" s="2"/>
      <c r="D140" s="2"/>
      <c r="E140" s="2"/>
      <c r="F140" s="2"/>
      <c r="G140" s="2"/>
      <c r="H140" s="2"/>
      <c r="I140" s="2"/>
      <c r="J140" s="2"/>
    </row>
    <row r="141" spans="2:10" ht="14.25" customHeight="1" x14ac:dyDescent="0.3">
      <c r="B141" s="2"/>
      <c r="C141" s="2"/>
      <c r="D141" s="2"/>
      <c r="E141" s="2"/>
      <c r="F141" s="2"/>
      <c r="G141" s="2"/>
      <c r="H141" s="2"/>
      <c r="I141" s="2"/>
      <c r="J141" s="2"/>
    </row>
    <row r="142" spans="2:10" ht="14.25" customHeight="1" x14ac:dyDescent="0.3">
      <c r="B142" s="2"/>
      <c r="C142" s="2"/>
      <c r="D142" s="2"/>
      <c r="E142" s="2"/>
      <c r="F142" s="2"/>
      <c r="G142" s="2"/>
      <c r="H142" s="2"/>
      <c r="I142" s="2"/>
      <c r="J142" s="2"/>
    </row>
    <row r="143" spans="2:10" ht="14.25" customHeight="1" x14ac:dyDescent="0.3">
      <c r="B143" s="2"/>
      <c r="C143" s="2"/>
      <c r="D143" s="2"/>
      <c r="E143" s="2"/>
      <c r="F143" s="2"/>
      <c r="G143" s="2"/>
      <c r="H143" s="2"/>
      <c r="I143" s="2"/>
      <c r="J143" s="2"/>
    </row>
    <row r="144" spans="2:10" ht="14.25" customHeight="1" x14ac:dyDescent="0.3">
      <c r="B144" s="2"/>
      <c r="C144" s="2"/>
      <c r="D144" s="2"/>
      <c r="E144" s="2"/>
      <c r="F144" s="2"/>
      <c r="G144" s="2"/>
      <c r="H144" s="2"/>
      <c r="I144" s="2"/>
      <c r="J144" s="2"/>
    </row>
    <row r="145" spans="2:10" ht="14.25" customHeight="1" x14ac:dyDescent="0.3">
      <c r="B145" s="2"/>
      <c r="C145" s="2"/>
      <c r="D145" s="2"/>
      <c r="E145" s="2"/>
      <c r="F145" s="2"/>
      <c r="G145" s="2"/>
      <c r="H145" s="2"/>
      <c r="I145" s="2"/>
      <c r="J145" s="2"/>
    </row>
    <row r="146" spans="2:10" ht="14.25" customHeight="1" x14ac:dyDescent="0.3">
      <c r="B146" s="2"/>
      <c r="C146" s="2"/>
      <c r="D146" s="2"/>
      <c r="E146" s="2"/>
      <c r="F146" s="2"/>
      <c r="G146" s="2"/>
      <c r="H146" s="2"/>
      <c r="I146" s="2"/>
      <c r="J146" s="2"/>
    </row>
    <row r="147" spans="2:10" ht="14.25" customHeight="1" x14ac:dyDescent="0.3">
      <c r="B147" s="2"/>
      <c r="C147" s="2"/>
      <c r="D147" s="2"/>
      <c r="E147" s="2"/>
      <c r="F147" s="2"/>
      <c r="G147" s="2"/>
      <c r="H147" s="2"/>
      <c r="I147" s="2"/>
      <c r="J147" s="2"/>
    </row>
    <row r="148" spans="2:10" ht="14.25" customHeight="1" x14ac:dyDescent="0.3">
      <c r="B148" s="2"/>
      <c r="C148" s="2"/>
      <c r="D148" s="2"/>
      <c r="E148" s="2"/>
      <c r="F148" s="2"/>
      <c r="G148" s="2"/>
      <c r="H148" s="2"/>
      <c r="I148" s="2"/>
      <c r="J148" s="2"/>
    </row>
    <row r="149" spans="2:10" ht="14.25" customHeight="1" x14ac:dyDescent="0.3">
      <c r="B149" s="2"/>
      <c r="C149" s="2"/>
      <c r="D149" s="2"/>
      <c r="E149" s="2"/>
      <c r="F149" s="2"/>
      <c r="G149" s="2"/>
      <c r="H149" s="2"/>
      <c r="I149" s="2"/>
      <c r="J149" s="2"/>
    </row>
    <row r="150" spans="2:10" ht="14.25" customHeight="1" x14ac:dyDescent="0.3">
      <c r="B150" s="2"/>
      <c r="C150" s="2"/>
      <c r="D150" s="2"/>
      <c r="E150" s="2"/>
      <c r="F150" s="2"/>
      <c r="G150" s="2"/>
      <c r="H150" s="2"/>
      <c r="I150" s="2"/>
      <c r="J150" s="2"/>
    </row>
    <row r="151" spans="2:10" ht="14.25" customHeight="1" x14ac:dyDescent="0.3">
      <c r="B151" s="2"/>
      <c r="C151" s="2"/>
      <c r="D151" s="2"/>
      <c r="E151" s="2"/>
      <c r="F151" s="2"/>
      <c r="G151" s="2"/>
      <c r="H151" s="2"/>
      <c r="I151" s="2"/>
      <c r="J151" s="2"/>
    </row>
    <row r="152" spans="2:10" ht="14.25" customHeight="1" x14ac:dyDescent="0.3">
      <c r="B152" s="2"/>
      <c r="C152" s="2"/>
      <c r="D152" s="2"/>
      <c r="E152" s="2"/>
      <c r="F152" s="2"/>
      <c r="G152" s="2"/>
      <c r="H152" s="2"/>
      <c r="I152" s="2"/>
      <c r="J152" s="2"/>
    </row>
    <row r="153" spans="2:10" ht="14.25" customHeight="1" x14ac:dyDescent="0.3">
      <c r="B153" s="2"/>
      <c r="C153" s="2"/>
      <c r="D153" s="2"/>
      <c r="E153" s="2"/>
      <c r="F153" s="2"/>
      <c r="G153" s="2"/>
      <c r="H153" s="2"/>
      <c r="I153" s="2"/>
      <c r="J153" s="2"/>
    </row>
    <row r="154" spans="2:10" ht="14.25" customHeight="1" x14ac:dyDescent="0.3">
      <c r="B154" s="2"/>
      <c r="C154" s="2"/>
      <c r="D154" s="2"/>
      <c r="E154" s="2"/>
      <c r="F154" s="2"/>
      <c r="G154" s="2"/>
      <c r="H154" s="2"/>
      <c r="I154" s="2"/>
      <c r="J154" s="2"/>
    </row>
    <row r="155" spans="2:10" ht="14.25" customHeight="1" x14ac:dyDescent="0.3">
      <c r="B155" s="2"/>
      <c r="C155" s="2"/>
      <c r="D155" s="2"/>
      <c r="E155" s="2"/>
      <c r="F155" s="2"/>
      <c r="G155" s="2"/>
      <c r="H155" s="2"/>
      <c r="I155" s="2"/>
      <c r="J155" s="2"/>
    </row>
    <row r="156" spans="2:10" ht="14.25" customHeight="1" x14ac:dyDescent="0.3">
      <c r="B156" s="2"/>
      <c r="C156" s="2"/>
      <c r="D156" s="2"/>
      <c r="E156" s="2"/>
      <c r="F156" s="2"/>
      <c r="G156" s="2"/>
      <c r="H156" s="2"/>
      <c r="I156" s="2"/>
      <c r="J156" s="2"/>
    </row>
    <row r="157" spans="2:10" ht="14.25" customHeight="1" x14ac:dyDescent="0.3">
      <c r="B157" s="2"/>
      <c r="C157" s="2"/>
      <c r="D157" s="2"/>
      <c r="E157" s="2"/>
      <c r="F157" s="2"/>
      <c r="G157" s="2"/>
      <c r="H157" s="2"/>
      <c r="I157" s="2"/>
      <c r="J157" s="2"/>
    </row>
    <row r="158" spans="2:10" ht="14.25" customHeight="1" x14ac:dyDescent="0.3">
      <c r="B158" s="2"/>
      <c r="C158" s="2"/>
      <c r="D158" s="2"/>
      <c r="E158" s="2"/>
      <c r="F158" s="2"/>
      <c r="G158" s="2"/>
      <c r="H158" s="2"/>
      <c r="I158" s="2"/>
      <c r="J158" s="2"/>
    </row>
    <row r="159" spans="2:10" ht="14.25" customHeight="1" x14ac:dyDescent="0.3">
      <c r="B159" s="2"/>
      <c r="C159" s="2"/>
      <c r="D159" s="2"/>
      <c r="E159" s="2"/>
      <c r="F159" s="2"/>
      <c r="G159" s="2"/>
      <c r="H159" s="2"/>
      <c r="I159" s="2"/>
      <c r="J159" s="2"/>
    </row>
    <row r="160" spans="2:10" ht="14.25" customHeight="1" x14ac:dyDescent="0.3">
      <c r="B160" s="2"/>
      <c r="C160" s="2"/>
      <c r="D160" s="2"/>
      <c r="E160" s="2"/>
      <c r="F160" s="2"/>
      <c r="G160" s="2"/>
      <c r="H160" s="2"/>
      <c r="I160" s="2"/>
      <c r="J160" s="2"/>
    </row>
    <row r="161" spans="2:10" ht="14.25" customHeight="1" x14ac:dyDescent="0.3">
      <c r="B161" s="2"/>
      <c r="C161" s="2"/>
      <c r="D161" s="2"/>
      <c r="E161" s="2"/>
      <c r="F161" s="2"/>
      <c r="G161" s="2"/>
      <c r="H161" s="2"/>
      <c r="I161" s="2"/>
      <c r="J161" s="2"/>
    </row>
    <row r="162" spans="2:10" ht="14.25" customHeight="1" x14ac:dyDescent="0.3">
      <c r="B162" s="2"/>
      <c r="C162" s="2"/>
      <c r="D162" s="2"/>
      <c r="E162" s="2"/>
      <c r="F162" s="2"/>
      <c r="G162" s="2"/>
      <c r="H162" s="2"/>
      <c r="I162" s="2"/>
      <c r="J162" s="2"/>
    </row>
    <row r="163" spans="2:10" ht="14.25" customHeight="1" x14ac:dyDescent="0.3">
      <c r="B163" s="2"/>
      <c r="C163" s="2"/>
      <c r="D163" s="2"/>
      <c r="E163" s="2"/>
      <c r="F163" s="2"/>
      <c r="G163" s="2"/>
      <c r="H163" s="2"/>
      <c r="I163" s="2"/>
      <c r="J163" s="2"/>
    </row>
    <row r="164" spans="2:10" ht="14.25" customHeight="1" x14ac:dyDescent="0.3">
      <c r="B164" s="2"/>
      <c r="C164" s="2"/>
      <c r="D164" s="2"/>
      <c r="E164" s="2"/>
      <c r="F164" s="2"/>
      <c r="G164" s="2"/>
      <c r="H164" s="2"/>
      <c r="I164" s="2"/>
      <c r="J164" s="2"/>
    </row>
    <row r="165" spans="2:10" ht="14.25" customHeight="1" x14ac:dyDescent="0.3">
      <c r="B165" s="2"/>
      <c r="C165" s="2"/>
      <c r="D165" s="2"/>
      <c r="E165" s="2"/>
      <c r="F165" s="2"/>
      <c r="G165" s="2"/>
      <c r="H165" s="2"/>
      <c r="I165" s="2"/>
      <c r="J165" s="2"/>
    </row>
    <row r="166" spans="2:10" ht="14.25" customHeight="1" x14ac:dyDescent="0.3">
      <c r="B166" s="2"/>
      <c r="C166" s="2"/>
      <c r="D166" s="2"/>
      <c r="E166" s="2"/>
      <c r="F166" s="2"/>
      <c r="G166" s="2"/>
      <c r="H166" s="2"/>
      <c r="I166" s="2"/>
      <c r="J166" s="2"/>
    </row>
    <row r="167" spans="2:10" ht="14.25" customHeight="1" x14ac:dyDescent="0.3">
      <c r="B167" s="2"/>
      <c r="C167" s="2"/>
      <c r="D167" s="2"/>
      <c r="E167" s="2"/>
      <c r="F167" s="2"/>
      <c r="G167" s="2"/>
      <c r="H167" s="2"/>
      <c r="I167" s="2"/>
      <c r="J167" s="2"/>
    </row>
    <row r="168" spans="2:10" ht="14.25" customHeight="1" x14ac:dyDescent="0.3">
      <c r="B168" s="2"/>
      <c r="C168" s="2"/>
      <c r="D168" s="2"/>
      <c r="E168" s="2"/>
      <c r="F168" s="2"/>
      <c r="G168" s="2"/>
      <c r="H168" s="2"/>
      <c r="I168" s="2"/>
      <c r="J168" s="2"/>
    </row>
    <row r="169" spans="2:10" ht="14.25" customHeight="1" x14ac:dyDescent="0.3">
      <c r="B169" s="2"/>
      <c r="C169" s="2"/>
      <c r="D169" s="2"/>
      <c r="E169" s="2"/>
      <c r="F169" s="2"/>
      <c r="G169" s="2"/>
      <c r="H169" s="2"/>
      <c r="I169" s="2"/>
      <c r="J169" s="2"/>
    </row>
    <row r="170" spans="2:10" ht="14.25" customHeight="1" x14ac:dyDescent="0.3">
      <c r="B170" s="2"/>
      <c r="C170" s="2"/>
      <c r="D170" s="2"/>
      <c r="E170" s="2"/>
      <c r="F170" s="2"/>
      <c r="G170" s="2"/>
      <c r="H170" s="2"/>
      <c r="I170" s="2"/>
      <c r="J170" s="2"/>
    </row>
    <row r="171" spans="2:10" ht="14.25" customHeight="1" x14ac:dyDescent="0.3">
      <c r="B171" s="2"/>
      <c r="C171" s="2"/>
      <c r="D171" s="2"/>
      <c r="E171" s="2"/>
      <c r="F171" s="2"/>
      <c r="G171" s="2"/>
      <c r="H171" s="2"/>
      <c r="I171" s="2"/>
      <c r="J171" s="2"/>
    </row>
    <row r="172" spans="2:10" ht="14.25" customHeight="1" x14ac:dyDescent="0.3">
      <c r="B172" s="2"/>
      <c r="C172" s="2"/>
      <c r="D172" s="2"/>
      <c r="E172" s="2"/>
      <c r="F172" s="2"/>
      <c r="G172" s="2"/>
      <c r="H172" s="2"/>
      <c r="I172" s="2"/>
      <c r="J172" s="2"/>
    </row>
    <row r="173" spans="2:10" ht="14.25" customHeight="1" x14ac:dyDescent="0.3">
      <c r="B173" s="2"/>
      <c r="C173" s="2"/>
      <c r="D173" s="2"/>
      <c r="E173" s="2"/>
      <c r="F173" s="2"/>
      <c r="G173" s="2"/>
      <c r="H173" s="2"/>
      <c r="I173" s="2"/>
      <c r="J173" s="2"/>
    </row>
    <row r="174" spans="2:10" ht="14.25" customHeight="1" x14ac:dyDescent="0.3">
      <c r="B174" s="2"/>
      <c r="C174" s="2"/>
      <c r="D174" s="2"/>
      <c r="E174" s="2"/>
      <c r="F174" s="2"/>
      <c r="G174" s="2"/>
      <c r="H174" s="2"/>
      <c r="I174" s="2"/>
      <c r="J174" s="2"/>
    </row>
    <row r="175" spans="2:10" ht="14.25" customHeight="1" x14ac:dyDescent="0.3">
      <c r="B175" s="2"/>
      <c r="C175" s="2"/>
      <c r="D175" s="2"/>
      <c r="E175" s="2"/>
      <c r="F175" s="2"/>
      <c r="G175" s="2"/>
      <c r="H175" s="2"/>
      <c r="I175" s="2"/>
      <c r="J175" s="2"/>
    </row>
    <row r="176" spans="2:10" ht="14.25" customHeight="1" x14ac:dyDescent="0.3">
      <c r="B176" s="2"/>
      <c r="C176" s="2"/>
      <c r="D176" s="2"/>
      <c r="E176" s="2"/>
      <c r="F176" s="2"/>
      <c r="G176" s="2"/>
      <c r="H176" s="2"/>
      <c r="I176" s="2"/>
      <c r="J176" s="2"/>
    </row>
    <row r="177" spans="2:10" ht="14.25" customHeight="1" x14ac:dyDescent="0.3">
      <c r="B177" s="2"/>
      <c r="C177" s="2"/>
      <c r="D177" s="2"/>
      <c r="E177" s="2"/>
      <c r="F177" s="2"/>
      <c r="G177" s="2"/>
      <c r="H177" s="2"/>
      <c r="I177" s="2"/>
      <c r="J177" s="2"/>
    </row>
    <row r="178" spans="2:10" ht="14.25" customHeight="1" x14ac:dyDescent="0.3">
      <c r="B178" s="2"/>
      <c r="C178" s="2"/>
      <c r="D178" s="2"/>
      <c r="E178" s="2"/>
      <c r="F178" s="2"/>
      <c r="G178" s="2"/>
      <c r="H178" s="2"/>
      <c r="I178" s="2"/>
      <c r="J178" s="2"/>
    </row>
    <row r="179" spans="2:10" ht="14.25" customHeight="1" x14ac:dyDescent="0.3">
      <c r="B179" s="2"/>
      <c r="C179" s="2"/>
      <c r="D179" s="2"/>
      <c r="E179" s="2"/>
      <c r="F179" s="2"/>
      <c r="G179" s="2"/>
      <c r="H179" s="2"/>
      <c r="I179" s="2"/>
      <c r="J179" s="2"/>
    </row>
    <row r="180" spans="2:10" ht="14.25" customHeight="1" x14ac:dyDescent="0.3">
      <c r="B180" s="2"/>
      <c r="C180" s="2"/>
      <c r="D180" s="2"/>
      <c r="E180" s="2"/>
      <c r="F180" s="2"/>
      <c r="G180" s="2"/>
      <c r="H180" s="2"/>
      <c r="I180" s="2"/>
      <c r="J180" s="2"/>
    </row>
    <row r="181" spans="2:10" ht="14.25" customHeight="1" x14ac:dyDescent="0.3">
      <c r="B181" s="2"/>
      <c r="C181" s="2"/>
      <c r="D181" s="2"/>
      <c r="E181" s="2"/>
      <c r="F181" s="2"/>
      <c r="G181" s="2"/>
      <c r="H181" s="2"/>
      <c r="I181" s="2"/>
      <c r="J181" s="2"/>
    </row>
    <row r="182" spans="2:10" ht="14.25" customHeight="1" x14ac:dyDescent="0.3">
      <c r="B182" s="2"/>
      <c r="C182" s="2"/>
      <c r="D182" s="2"/>
      <c r="E182" s="2"/>
      <c r="F182" s="2"/>
      <c r="G182" s="2"/>
      <c r="H182" s="2"/>
      <c r="I182" s="2"/>
      <c r="J182" s="2"/>
    </row>
    <row r="183" spans="2:10" ht="14.25" customHeight="1" x14ac:dyDescent="0.3">
      <c r="B183" s="2"/>
      <c r="C183" s="2"/>
      <c r="D183" s="2"/>
      <c r="E183" s="2"/>
      <c r="F183" s="2"/>
      <c r="G183" s="2"/>
      <c r="H183" s="2"/>
      <c r="I183" s="2"/>
      <c r="J183" s="2"/>
    </row>
    <row r="184" spans="2:10" ht="14.25" customHeight="1" x14ac:dyDescent="0.3">
      <c r="B184" s="2"/>
      <c r="C184" s="2"/>
      <c r="D184" s="2"/>
      <c r="E184" s="2"/>
      <c r="F184" s="2"/>
      <c r="G184" s="2"/>
      <c r="H184" s="2"/>
      <c r="I184" s="2"/>
      <c r="J184" s="2"/>
    </row>
    <row r="185" spans="2:10" ht="14.25" customHeight="1" x14ac:dyDescent="0.3">
      <c r="B185" s="2"/>
      <c r="C185" s="2"/>
      <c r="D185" s="2"/>
      <c r="E185" s="2"/>
      <c r="F185" s="2"/>
      <c r="G185" s="2"/>
      <c r="H185" s="2"/>
      <c r="I185" s="2"/>
      <c r="J185" s="2"/>
    </row>
    <row r="186" spans="2:10" ht="14.25" customHeight="1" x14ac:dyDescent="0.3">
      <c r="B186" s="2"/>
      <c r="C186" s="2"/>
      <c r="D186" s="2"/>
      <c r="E186" s="2"/>
      <c r="F186" s="2"/>
      <c r="G186" s="2"/>
      <c r="H186" s="2"/>
      <c r="I186" s="2"/>
      <c r="J186" s="2"/>
    </row>
    <row r="187" spans="2:10" ht="14.25" customHeight="1" x14ac:dyDescent="0.3">
      <c r="B187" s="2"/>
      <c r="C187" s="2"/>
      <c r="D187" s="2"/>
      <c r="E187" s="2"/>
      <c r="F187" s="2"/>
      <c r="G187" s="2"/>
      <c r="H187" s="2"/>
      <c r="I187" s="2"/>
      <c r="J187" s="2"/>
    </row>
    <row r="188" spans="2:10" ht="14.25" customHeight="1" x14ac:dyDescent="0.3">
      <c r="B188" s="2"/>
      <c r="C188" s="2"/>
      <c r="D188" s="2"/>
      <c r="E188" s="2"/>
      <c r="F188" s="2"/>
      <c r="G188" s="2"/>
      <c r="H188" s="2"/>
      <c r="I188" s="2"/>
      <c r="J188" s="2"/>
    </row>
    <row r="189" spans="2:10" ht="14.25" customHeight="1" x14ac:dyDescent="0.3">
      <c r="B189" s="2"/>
      <c r="C189" s="2"/>
      <c r="D189" s="2"/>
      <c r="E189" s="2"/>
      <c r="F189" s="2"/>
      <c r="G189" s="2"/>
      <c r="H189" s="2"/>
      <c r="I189" s="2"/>
      <c r="J189" s="2"/>
    </row>
    <row r="190" spans="2:10" ht="14.25" customHeight="1" x14ac:dyDescent="0.3">
      <c r="B190" s="2"/>
      <c r="C190" s="2"/>
      <c r="D190" s="2"/>
      <c r="E190" s="2"/>
      <c r="F190" s="2"/>
      <c r="G190" s="2"/>
      <c r="H190" s="2"/>
      <c r="I190" s="2"/>
      <c r="J190" s="2"/>
    </row>
    <row r="191" spans="2:10" ht="14.25" customHeight="1" x14ac:dyDescent="0.3">
      <c r="B191" s="2"/>
      <c r="C191" s="2"/>
      <c r="D191" s="2"/>
      <c r="E191" s="2"/>
      <c r="F191" s="2"/>
      <c r="G191" s="2"/>
      <c r="H191" s="2"/>
      <c r="I191" s="2"/>
      <c r="J191" s="2"/>
    </row>
    <row r="192" spans="2:10" ht="14.25" customHeight="1" x14ac:dyDescent="0.3">
      <c r="B192" s="2"/>
      <c r="C192" s="2"/>
      <c r="D192" s="2"/>
      <c r="E192" s="2"/>
      <c r="F192" s="2"/>
      <c r="G192" s="2"/>
      <c r="H192" s="2"/>
      <c r="I192" s="2"/>
      <c r="J192" s="2"/>
    </row>
    <row r="193" spans="2:10" ht="14.25" customHeight="1" x14ac:dyDescent="0.3">
      <c r="B193" s="2"/>
      <c r="C193" s="2"/>
      <c r="D193" s="2"/>
      <c r="E193" s="2"/>
      <c r="F193" s="2"/>
      <c r="G193" s="2"/>
      <c r="H193" s="2"/>
      <c r="I193" s="2"/>
      <c r="J193" s="2"/>
    </row>
    <row r="194" spans="2:10" ht="14.25" customHeight="1" x14ac:dyDescent="0.3">
      <c r="B194" s="2"/>
      <c r="C194" s="2"/>
      <c r="D194" s="2"/>
      <c r="E194" s="2"/>
      <c r="F194" s="2"/>
      <c r="G194" s="2"/>
      <c r="H194" s="2"/>
      <c r="I194" s="2"/>
      <c r="J194" s="2"/>
    </row>
    <row r="195" spans="2:10" ht="14.25" customHeight="1" x14ac:dyDescent="0.3">
      <c r="B195" s="2"/>
      <c r="C195" s="2"/>
      <c r="D195" s="2"/>
      <c r="E195" s="2"/>
      <c r="F195" s="2"/>
      <c r="G195" s="2"/>
      <c r="H195" s="2"/>
      <c r="I195" s="2"/>
      <c r="J195" s="2"/>
    </row>
    <row r="196" spans="2:10" ht="14.25" customHeight="1" x14ac:dyDescent="0.3">
      <c r="B196" s="2"/>
      <c r="C196" s="2"/>
      <c r="D196" s="2"/>
      <c r="E196" s="2"/>
      <c r="F196" s="2"/>
      <c r="G196" s="2"/>
      <c r="H196" s="2"/>
      <c r="I196" s="2"/>
      <c r="J196" s="2"/>
    </row>
    <row r="197" spans="2:10" ht="14.25" customHeight="1" x14ac:dyDescent="0.3">
      <c r="B197" s="2"/>
      <c r="C197" s="2"/>
      <c r="D197" s="2"/>
      <c r="E197" s="2"/>
      <c r="F197" s="2"/>
      <c r="G197" s="2"/>
      <c r="H197" s="2"/>
      <c r="I197" s="2"/>
      <c r="J197" s="2"/>
    </row>
    <row r="198" spans="2:10" ht="14.25" customHeight="1" x14ac:dyDescent="0.3">
      <c r="B198" s="2"/>
      <c r="C198" s="2"/>
      <c r="D198" s="2"/>
      <c r="E198" s="2"/>
      <c r="F198" s="2"/>
      <c r="G198" s="2"/>
      <c r="H198" s="2"/>
      <c r="I198" s="2"/>
      <c r="J198" s="2"/>
    </row>
    <row r="199" spans="2:10" ht="14.25" customHeight="1" x14ac:dyDescent="0.3">
      <c r="B199" s="2"/>
      <c r="C199" s="2"/>
      <c r="D199" s="2"/>
      <c r="E199" s="2"/>
      <c r="F199" s="2"/>
      <c r="G199" s="2"/>
      <c r="H199" s="2"/>
      <c r="I199" s="2"/>
      <c r="J199" s="2"/>
    </row>
    <row r="200" spans="2:10" ht="14.25" customHeight="1" x14ac:dyDescent="0.3">
      <c r="B200" s="2"/>
      <c r="C200" s="2"/>
      <c r="D200" s="2"/>
      <c r="E200" s="2"/>
      <c r="F200" s="2"/>
      <c r="G200" s="2"/>
      <c r="H200" s="2"/>
      <c r="I200" s="2"/>
      <c r="J200" s="2"/>
    </row>
    <row r="201" spans="2:10" ht="14.25" customHeight="1" x14ac:dyDescent="0.3">
      <c r="B201" s="2"/>
      <c r="C201" s="2"/>
      <c r="D201" s="2"/>
      <c r="E201" s="2"/>
      <c r="F201" s="2"/>
      <c r="G201" s="2"/>
      <c r="H201" s="2"/>
      <c r="I201" s="2"/>
      <c r="J201" s="2"/>
    </row>
    <row r="202" spans="2:10" ht="14.25" customHeight="1" x14ac:dyDescent="0.3">
      <c r="B202" s="2"/>
      <c r="C202" s="2"/>
      <c r="D202" s="2"/>
      <c r="E202" s="2"/>
      <c r="F202" s="2"/>
      <c r="G202" s="2"/>
      <c r="H202" s="2"/>
      <c r="I202" s="2"/>
      <c r="J202" s="2"/>
    </row>
    <row r="203" spans="2:10" ht="14.25" customHeight="1" x14ac:dyDescent="0.3">
      <c r="B203" s="2"/>
      <c r="C203" s="2"/>
      <c r="D203" s="2"/>
      <c r="E203" s="2"/>
      <c r="F203" s="2"/>
      <c r="G203" s="2"/>
      <c r="H203" s="2"/>
      <c r="I203" s="2"/>
      <c r="J203" s="2"/>
    </row>
    <row r="204" spans="2:10" ht="14.25" customHeight="1" x14ac:dyDescent="0.3">
      <c r="B204" s="2"/>
      <c r="C204" s="2"/>
      <c r="D204" s="2"/>
      <c r="E204" s="2"/>
      <c r="F204" s="2"/>
      <c r="G204" s="2"/>
      <c r="H204" s="2"/>
      <c r="I204" s="2"/>
      <c r="J204" s="2"/>
    </row>
    <row r="205" spans="2:10" ht="14.25" customHeight="1" x14ac:dyDescent="0.3">
      <c r="B205" s="2"/>
      <c r="C205" s="2"/>
      <c r="D205" s="2"/>
      <c r="E205" s="2"/>
      <c r="F205" s="2"/>
      <c r="G205" s="2"/>
      <c r="H205" s="2"/>
      <c r="I205" s="2"/>
      <c r="J205" s="2"/>
    </row>
    <row r="206" spans="2:10" ht="14.25" customHeight="1" x14ac:dyDescent="0.3">
      <c r="B206" s="2"/>
      <c r="C206" s="2"/>
      <c r="D206" s="2"/>
      <c r="E206" s="2"/>
      <c r="F206" s="2"/>
      <c r="G206" s="2"/>
      <c r="H206" s="2"/>
      <c r="I206" s="2"/>
      <c r="J206" s="2"/>
    </row>
    <row r="207" spans="2:10" ht="14.25" customHeight="1" x14ac:dyDescent="0.3">
      <c r="B207" s="2"/>
      <c r="C207" s="2"/>
      <c r="D207" s="2"/>
      <c r="E207" s="2"/>
      <c r="F207" s="2"/>
      <c r="G207" s="2"/>
      <c r="H207" s="2"/>
      <c r="I207" s="2"/>
      <c r="J207" s="2"/>
    </row>
    <row r="208" spans="2:10" ht="14.25" customHeight="1" x14ac:dyDescent="0.3">
      <c r="B208" s="2"/>
      <c r="C208" s="2"/>
      <c r="D208" s="2"/>
      <c r="E208" s="2"/>
      <c r="F208" s="2"/>
      <c r="G208" s="2"/>
      <c r="H208" s="2"/>
      <c r="I208" s="2"/>
      <c r="J208" s="2"/>
    </row>
    <row r="209" spans="2:10" ht="14.25" customHeight="1" x14ac:dyDescent="0.3">
      <c r="B209" s="2"/>
      <c r="C209" s="2"/>
      <c r="D209" s="2"/>
      <c r="E209" s="2"/>
      <c r="F209" s="2"/>
      <c r="G209" s="2"/>
      <c r="H209" s="2"/>
      <c r="I209" s="2"/>
      <c r="J209" s="2"/>
    </row>
    <row r="210" spans="2:10" ht="14.25" customHeight="1" x14ac:dyDescent="0.3">
      <c r="B210" s="2"/>
      <c r="C210" s="2"/>
      <c r="D210" s="2"/>
      <c r="E210" s="2"/>
      <c r="F210" s="2"/>
      <c r="G210" s="2"/>
      <c r="H210" s="2"/>
      <c r="I210" s="2"/>
      <c r="J210" s="2"/>
    </row>
    <row r="211" spans="2:10" ht="14.25" customHeight="1" x14ac:dyDescent="0.3">
      <c r="B211" s="2"/>
      <c r="C211" s="2"/>
      <c r="D211" s="2"/>
      <c r="E211" s="2"/>
      <c r="F211" s="2"/>
      <c r="G211" s="2"/>
      <c r="H211" s="2"/>
      <c r="I211" s="2"/>
      <c r="J211" s="2"/>
    </row>
    <row r="212" spans="2:10" ht="14.25" customHeight="1" x14ac:dyDescent="0.3">
      <c r="B212" s="2"/>
      <c r="C212" s="2"/>
      <c r="D212" s="2"/>
      <c r="E212" s="2"/>
      <c r="F212" s="2"/>
      <c r="G212" s="2"/>
      <c r="H212" s="2"/>
      <c r="I212" s="2"/>
      <c r="J212" s="2"/>
    </row>
    <row r="213" spans="2:10" ht="14.25" customHeight="1" x14ac:dyDescent="0.3">
      <c r="B213" s="2"/>
      <c r="C213" s="2"/>
      <c r="D213" s="2"/>
      <c r="E213" s="2"/>
      <c r="F213" s="2"/>
      <c r="G213" s="2"/>
      <c r="H213" s="2"/>
      <c r="I213" s="2"/>
      <c r="J213" s="2"/>
    </row>
    <row r="214" spans="2:10" ht="14.25" customHeight="1" x14ac:dyDescent="0.3">
      <c r="B214" s="2"/>
      <c r="C214" s="2"/>
      <c r="D214" s="2"/>
      <c r="E214" s="2"/>
      <c r="F214" s="2"/>
      <c r="G214" s="2"/>
      <c r="H214" s="2"/>
      <c r="I214" s="2"/>
      <c r="J214" s="2"/>
    </row>
    <row r="215" spans="2:10" ht="14.25" customHeight="1" x14ac:dyDescent="0.3">
      <c r="B215" s="2"/>
      <c r="C215" s="2"/>
      <c r="D215" s="2"/>
      <c r="E215" s="2"/>
      <c r="F215" s="2"/>
      <c r="G215" s="2"/>
      <c r="H215" s="2"/>
      <c r="I215" s="2"/>
      <c r="J215" s="2"/>
    </row>
    <row r="216" spans="2:10" ht="14.25" customHeight="1" x14ac:dyDescent="0.3">
      <c r="B216" s="2"/>
      <c r="C216" s="2"/>
      <c r="D216" s="2"/>
      <c r="E216" s="2"/>
      <c r="F216" s="2"/>
      <c r="G216" s="2"/>
      <c r="H216" s="2"/>
      <c r="I216" s="2"/>
      <c r="J216" s="2"/>
    </row>
    <row r="217" spans="2:10" ht="14.25" customHeight="1" x14ac:dyDescent="0.3">
      <c r="B217" s="2"/>
      <c r="C217" s="2"/>
      <c r="D217" s="2"/>
      <c r="E217" s="2"/>
      <c r="F217" s="2"/>
      <c r="G217" s="2"/>
      <c r="H217" s="2"/>
      <c r="I217" s="2"/>
      <c r="J217" s="2"/>
    </row>
    <row r="218" spans="2:10" ht="14.25" customHeight="1" x14ac:dyDescent="0.3">
      <c r="B218" s="2"/>
      <c r="C218" s="2"/>
      <c r="D218" s="2"/>
      <c r="E218" s="2"/>
      <c r="F218" s="2"/>
      <c r="G218" s="2"/>
      <c r="H218" s="2"/>
      <c r="I218" s="2"/>
      <c r="J218" s="2"/>
    </row>
    <row r="219" spans="2:10" ht="14.25" customHeight="1" x14ac:dyDescent="0.3">
      <c r="B219" s="2"/>
      <c r="C219" s="2"/>
      <c r="D219" s="2"/>
      <c r="E219" s="2"/>
      <c r="F219" s="2"/>
      <c r="G219" s="2"/>
      <c r="H219" s="2"/>
      <c r="I219" s="2"/>
      <c r="J219" s="2"/>
    </row>
    <row r="220" spans="2:10" ht="14.25" customHeight="1" x14ac:dyDescent="0.3">
      <c r="B220" s="2"/>
      <c r="C220" s="2"/>
      <c r="D220" s="2"/>
      <c r="E220" s="2"/>
      <c r="F220" s="2"/>
      <c r="G220" s="2"/>
      <c r="H220" s="2"/>
      <c r="I220" s="2"/>
      <c r="J220" s="2"/>
    </row>
    <row r="221" spans="2:10" ht="14.25" customHeight="1" x14ac:dyDescent="0.3">
      <c r="B221" s="2"/>
      <c r="C221" s="2"/>
      <c r="D221" s="2"/>
      <c r="E221" s="2"/>
      <c r="F221" s="2"/>
      <c r="G221" s="2"/>
      <c r="H221" s="2"/>
      <c r="I221" s="2"/>
      <c r="J221" s="2"/>
    </row>
    <row r="222" spans="2:10" ht="14.25" customHeight="1" x14ac:dyDescent="0.3">
      <c r="B222" s="2"/>
      <c r="C222" s="2"/>
      <c r="D222" s="2"/>
      <c r="E222" s="2"/>
      <c r="F222" s="2"/>
      <c r="G222" s="2"/>
      <c r="H222" s="2"/>
      <c r="I222" s="2"/>
      <c r="J222" s="2"/>
    </row>
    <row r="223" spans="2:10" ht="14.25" customHeight="1" x14ac:dyDescent="0.3">
      <c r="B223" s="2"/>
      <c r="C223" s="2"/>
      <c r="D223" s="2"/>
      <c r="E223" s="2"/>
      <c r="F223" s="2"/>
      <c r="G223" s="2"/>
      <c r="H223" s="2"/>
      <c r="I223" s="2"/>
      <c r="J223" s="2"/>
    </row>
    <row r="224" spans="2:10" ht="14.25" customHeight="1" x14ac:dyDescent="0.3">
      <c r="B224" s="2"/>
      <c r="C224" s="2"/>
      <c r="D224" s="2"/>
      <c r="E224" s="2"/>
      <c r="F224" s="2"/>
      <c r="G224" s="2"/>
      <c r="H224" s="2"/>
      <c r="I224" s="2"/>
      <c r="J224" s="2"/>
    </row>
    <row r="225" spans="2:10" ht="14.25" customHeight="1" x14ac:dyDescent="0.3">
      <c r="B225" s="2"/>
      <c r="C225" s="2"/>
      <c r="D225" s="2"/>
      <c r="E225" s="2"/>
      <c r="F225" s="2"/>
      <c r="G225" s="2"/>
      <c r="H225" s="2"/>
      <c r="I225" s="2"/>
      <c r="J225" s="2"/>
    </row>
    <row r="226" spans="2:10" ht="14.25" customHeight="1" x14ac:dyDescent="0.3">
      <c r="B226" s="2"/>
      <c r="C226" s="2"/>
      <c r="D226" s="2"/>
      <c r="E226" s="2"/>
      <c r="F226" s="2"/>
      <c r="G226" s="2"/>
      <c r="H226" s="2"/>
      <c r="I226" s="2"/>
      <c r="J226" s="2"/>
    </row>
    <row r="227" spans="2:10" ht="14.25" customHeight="1" x14ac:dyDescent="0.3">
      <c r="B227" s="2"/>
      <c r="C227" s="2"/>
      <c r="D227" s="2"/>
      <c r="E227" s="2"/>
      <c r="F227" s="2"/>
      <c r="G227" s="2"/>
      <c r="H227" s="2"/>
      <c r="I227" s="2"/>
      <c r="J227" s="2"/>
    </row>
    <row r="228" spans="2:10" ht="14.25" customHeight="1" x14ac:dyDescent="0.3">
      <c r="B228" s="2"/>
      <c r="C228" s="2"/>
      <c r="D228" s="2"/>
      <c r="E228" s="2"/>
      <c r="F228" s="2"/>
      <c r="G228" s="2"/>
      <c r="H228" s="2"/>
      <c r="I228" s="2"/>
      <c r="J228" s="2"/>
    </row>
    <row r="229" spans="2:10" ht="14.25" customHeight="1" x14ac:dyDescent="0.3">
      <c r="B229" s="2"/>
      <c r="C229" s="2"/>
      <c r="D229" s="2"/>
      <c r="E229" s="2"/>
      <c r="F229" s="2"/>
      <c r="G229" s="2"/>
      <c r="H229" s="2"/>
      <c r="I229" s="2"/>
      <c r="J229" s="2"/>
    </row>
    <row r="230" spans="2:10" ht="14.25" customHeight="1" x14ac:dyDescent="0.3">
      <c r="B230" s="2"/>
      <c r="C230" s="2"/>
      <c r="D230" s="2"/>
      <c r="E230" s="2"/>
      <c r="F230" s="2"/>
      <c r="G230" s="2"/>
      <c r="H230" s="2"/>
      <c r="I230" s="2"/>
      <c r="J230" s="2"/>
    </row>
    <row r="231" spans="2:10" ht="14.25" customHeight="1" x14ac:dyDescent="0.3">
      <c r="B231" s="2"/>
      <c r="C231" s="2"/>
      <c r="D231" s="2"/>
      <c r="E231" s="2"/>
      <c r="F231" s="2"/>
      <c r="G231" s="2"/>
      <c r="H231" s="2"/>
      <c r="I231" s="2"/>
      <c r="J231" s="2"/>
    </row>
    <row r="232" spans="2:10" ht="14.25" customHeight="1" x14ac:dyDescent="0.3">
      <c r="B232" s="2"/>
      <c r="C232" s="2"/>
      <c r="D232" s="2"/>
      <c r="E232" s="2"/>
      <c r="F232" s="2"/>
      <c r="G232" s="2"/>
      <c r="H232" s="2"/>
      <c r="I232" s="2"/>
      <c r="J232" s="2"/>
    </row>
    <row r="233" spans="2:10" ht="14.25" customHeight="1" x14ac:dyDescent="0.3">
      <c r="B233" s="2"/>
      <c r="C233" s="2"/>
      <c r="D233" s="2"/>
      <c r="E233" s="2"/>
      <c r="F233" s="2"/>
      <c r="G233" s="2"/>
      <c r="H233" s="2"/>
      <c r="I233" s="2"/>
      <c r="J233" s="2"/>
    </row>
    <row r="234" spans="2:10" ht="14.25" customHeight="1" x14ac:dyDescent="0.3">
      <c r="B234" s="2"/>
      <c r="C234" s="2"/>
      <c r="D234" s="2"/>
      <c r="E234" s="2"/>
      <c r="F234" s="2"/>
      <c r="G234" s="2"/>
      <c r="H234" s="2"/>
      <c r="I234" s="2"/>
      <c r="J234" s="2"/>
    </row>
    <row r="235" spans="2:10" ht="14.25" customHeight="1" x14ac:dyDescent="0.3">
      <c r="B235" s="2"/>
      <c r="C235" s="2"/>
      <c r="D235" s="2"/>
      <c r="E235" s="2"/>
      <c r="F235" s="2"/>
      <c r="G235" s="2"/>
      <c r="H235" s="2"/>
      <c r="I235" s="2"/>
      <c r="J235" s="2"/>
    </row>
    <row r="236" spans="2:10" ht="14.25" customHeight="1" x14ac:dyDescent="0.3">
      <c r="B236" s="2"/>
      <c r="C236" s="2"/>
      <c r="D236" s="2"/>
      <c r="E236" s="2"/>
      <c r="F236" s="2"/>
      <c r="G236" s="2"/>
      <c r="H236" s="2"/>
      <c r="I236" s="2"/>
      <c r="J236" s="2"/>
    </row>
    <row r="237" spans="2:10" ht="14.25" customHeight="1" x14ac:dyDescent="0.3">
      <c r="B237" s="2"/>
      <c r="C237" s="2"/>
      <c r="D237" s="2"/>
      <c r="E237" s="2"/>
      <c r="F237" s="2"/>
      <c r="G237" s="2"/>
      <c r="H237" s="2"/>
      <c r="I237" s="2"/>
      <c r="J237" s="2"/>
    </row>
    <row r="238" spans="2:10" ht="14.25" customHeight="1" x14ac:dyDescent="0.3">
      <c r="B238" s="2"/>
      <c r="C238" s="2"/>
      <c r="D238" s="2"/>
      <c r="E238" s="2"/>
      <c r="F238" s="2"/>
      <c r="G238" s="2"/>
      <c r="H238" s="2"/>
      <c r="I238" s="2"/>
      <c r="J238" s="2"/>
    </row>
    <row r="239" spans="2:10" ht="14.25" customHeight="1" x14ac:dyDescent="0.3">
      <c r="B239" s="2"/>
      <c r="C239" s="2"/>
      <c r="D239" s="2"/>
      <c r="E239" s="2"/>
      <c r="F239" s="2"/>
      <c r="G239" s="2"/>
      <c r="H239" s="2"/>
      <c r="I239" s="2"/>
      <c r="J239" s="2"/>
    </row>
    <row r="240" spans="2:10" ht="14.25" customHeight="1" x14ac:dyDescent="0.3">
      <c r="B240" s="2"/>
      <c r="C240" s="2"/>
      <c r="D240" s="2"/>
      <c r="E240" s="2"/>
      <c r="F240" s="2"/>
      <c r="G240" s="2"/>
      <c r="H240" s="2"/>
      <c r="I240" s="2"/>
      <c r="J240" s="2"/>
    </row>
    <row r="241" spans="2:10" ht="14.25" customHeight="1" x14ac:dyDescent="0.3">
      <c r="B241" s="2"/>
      <c r="C241" s="2"/>
      <c r="D241" s="2"/>
      <c r="E241" s="2"/>
      <c r="F241" s="2"/>
      <c r="G241" s="2"/>
      <c r="H241" s="2"/>
      <c r="I241" s="2"/>
      <c r="J241" s="2"/>
    </row>
    <row r="242" spans="2:10" ht="14.25" customHeight="1" x14ac:dyDescent="0.25"/>
    <row r="243" spans="2:10" ht="14.25" customHeight="1" x14ac:dyDescent="0.25"/>
    <row r="244" spans="2:10" ht="14.25" customHeight="1" x14ac:dyDescent="0.25"/>
    <row r="245" spans="2:10" ht="14.25" customHeight="1" x14ac:dyDescent="0.25"/>
    <row r="246" spans="2:10" ht="14.25" customHeight="1" x14ac:dyDescent="0.25"/>
    <row r="247" spans="2:10" ht="14.25" customHeight="1" x14ac:dyDescent="0.25"/>
    <row r="248" spans="2:10" ht="14.25" customHeight="1" x14ac:dyDescent="0.25"/>
    <row r="249" spans="2:10" ht="14.25" customHeight="1" x14ac:dyDescent="0.25"/>
    <row r="250" spans="2:10" ht="14.25" customHeight="1" x14ac:dyDescent="0.25"/>
    <row r="251" spans="2:10" ht="14.25" customHeight="1" x14ac:dyDescent="0.25"/>
    <row r="252" spans="2:10" ht="14.25" customHeight="1" x14ac:dyDescent="0.25"/>
    <row r="253" spans="2:10" ht="14.25" customHeight="1" x14ac:dyDescent="0.25"/>
    <row r="254" spans="2:10" ht="14.25" customHeight="1" x14ac:dyDescent="0.25"/>
    <row r="255" spans="2:10" ht="14.25" customHeight="1" x14ac:dyDescent="0.25"/>
    <row r="256" spans="2:10"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sheetData>
  <pageMargins left="0.75" right="0.75" top="1" bottom="1"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4CFF9-EF52-4FD4-979D-688AF4EE8C3E}">
  <dimension ref="A1:J913"/>
  <sheetViews>
    <sheetView topLeftCell="A29" zoomScaleNormal="100" workbookViewId="0">
      <selection activeCell="A29" sqref="A29"/>
    </sheetView>
  </sheetViews>
  <sheetFormatPr defaultColWidth="12.59765625" defaultRowHeight="15" customHeight="1" x14ac:dyDescent="0.25"/>
  <cols>
    <col min="1" max="1" width="31.59765625" style="25" bestFit="1" customWidth="1"/>
    <col min="2" max="2" width="12.296875" style="25" customWidth="1"/>
    <col min="3" max="3" width="16.19921875" style="25" bestFit="1" customWidth="1"/>
    <col min="4" max="4" width="16.09765625" style="25" bestFit="1" customWidth="1"/>
    <col min="5" max="5" width="13.59765625" style="25" customWidth="1"/>
    <col min="6" max="6" width="9.69921875" style="25" customWidth="1"/>
    <col min="7" max="7" width="7" style="25" customWidth="1"/>
    <col min="8" max="9" width="10.09765625" style="25" customWidth="1"/>
    <col min="10" max="10" width="10" style="25" customWidth="1"/>
    <col min="11" max="11" width="7.59765625" style="25" customWidth="1"/>
    <col min="12" max="16384" width="12.59765625" style="25"/>
  </cols>
  <sheetData>
    <row r="1" spans="1:10" ht="14.25" customHeight="1" x14ac:dyDescent="0.3">
      <c r="A1" s="31" t="s">
        <v>106</v>
      </c>
      <c r="B1" s="31" t="s">
        <v>105</v>
      </c>
      <c r="C1" s="31" t="s">
        <v>104</v>
      </c>
      <c r="D1" s="31" t="s">
        <v>103</v>
      </c>
      <c r="E1" s="31" t="s">
        <v>102</v>
      </c>
      <c r="F1" s="31" t="s">
        <v>101</v>
      </c>
      <c r="G1" s="31" t="s">
        <v>100</v>
      </c>
      <c r="H1" s="31" t="s">
        <v>99</v>
      </c>
      <c r="I1" s="31" t="s">
        <v>98</v>
      </c>
      <c r="J1" s="31" t="s">
        <v>97</v>
      </c>
    </row>
    <row r="2" spans="1:10" ht="14.25" customHeight="1" x14ac:dyDescent="0.3">
      <c r="A2" s="26" t="s">
        <v>107</v>
      </c>
      <c r="B2" s="29" t="s">
        <v>48</v>
      </c>
      <c r="C2" s="29">
        <v>44610</v>
      </c>
      <c r="D2" s="29"/>
      <c r="E2" s="28">
        <v>425900</v>
      </c>
      <c r="F2" s="26">
        <v>5</v>
      </c>
      <c r="G2" s="26">
        <v>3</v>
      </c>
      <c r="H2" s="27">
        <v>2414</v>
      </c>
      <c r="I2" s="26" t="b">
        <v>1</v>
      </c>
      <c r="J2" s="26" t="b">
        <v>0</v>
      </c>
    </row>
    <row r="3" spans="1:10" ht="14.25" customHeight="1" x14ac:dyDescent="0.3">
      <c r="A3" s="26" t="s">
        <v>108</v>
      </c>
      <c r="B3" s="29" t="s">
        <v>109</v>
      </c>
      <c r="C3" s="29">
        <v>44620</v>
      </c>
      <c r="D3" s="29"/>
      <c r="E3" s="28">
        <v>299000</v>
      </c>
      <c r="F3" s="26">
        <v>3</v>
      </c>
      <c r="G3" s="26">
        <v>2</v>
      </c>
      <c r="H3" s="27">
        <v>2050</v>
      </c>
      <c r="I3" s="26" t="b">
        <v>0</v>
      </c>
      <c r="J3" s="26" t="b">
        <v>0</v>
      </c>
    </row>
    <row r="4" spans="1:10" ht="14.25" customHeight="1" x14ac:dyDescent="0.3">
      <c r="A4" s="26" t="s">
        <v>110</v>
      </c>
      <c r="B4" s="29" t="s">
        <v>58</v>
      </c>
      <c r="C4" s="29">
        <v>44627</v>
      </c>
      <c r="D4" s="29"/>
      <c r="E4" s="28">
        <v>264900</v>
      </c>
      <c r="F4" s="26">
        <v>3</v>
      </c>
      <c r="G4" s="26">
        <v>3</v>
      </c>
      <c r="H4" s="27">
        <v>2495</v>
      </c>
      <c r="I4" s="26" t="b">
        <v>0</v>
      </c>
      <c r="J4" s="26" t="b">
        <v>0</v>
      </c>
    </row>
    <row r="5" spans="1:10" ht="14.25" customHeight="1" x14ac:dyDescent="0.3">
      <c r="A5" s="26" t="s">
        <v>111</v>
      </c>
      <c r="B5" s="29" t="s">
        <v>48</v>
      </c>
      <c r="C5" s="29">
        <v>44635</v>
      </c>
      <c r="D5" s="29">
        <v>44927</v>
      </c>
      <c r="E5" s="28">
        <v>350000</v>
      </c>
      <c r="F5" s="26">
        <v>3</v>
      </c>
      <c r="G5" s="26">
        <v>2.5</v>
      </c>
      <c r="H5" s="27">
        <v>1991</v>
      </c>
      <c r="I5" s="26" t="b">
        <v>0</v>
      </c>
      <c r="J5" s="26" t="b">
        <v>1</v>
      </c>
    </row>
    <row r="6" spans="1:10" ht="14.25" customHeight="1" x14ac:dyDescent="0.3">
      <c r="A6" s="26" t="s">
        <v>112</v>
      </c>
      <c r="B6" s="29" t="s">
        <v>48</v>
      </c>
      <c r="C6" s="29">
        <v>44637</v>
      </c>
      <c r="D6" s="29"/>
      <c r="E6" s="28">
        <v>398000</v>
      </c>
      <c r="F6" s="26">
        <v>4</v>
      </c>
      <c r="G6" s="26">
        <v>2.5</v>
      </c>
      <c r="H6" s="27">
        <v>2620</v>
      </c>
      <c r="I6" s="26" t="b">
        <v>0</v>
      </c>
      <c r="J6" s="26" t="b">
        <v>0</v>
      </c>
    </row>
    <row r="7" spans="1:10" ht="14.25" customHeight="1" x14ac:dyDescent="0.3">
      <c r="A7" s="26" t="s">
        <v>113</v>
      </c>
      <c r="B7" s="29" t="s">
        <v>48</v>
      </c>
      <c r="C7" s="29">
        <v>44643</v>
      </c>
      <c r="D7" s="29">
        <v>45155</v>
      </c>
      <c r="E7" s="28">
        <v>379000</v>
      </c>
      <c r="F7" s="26">
        <v>4</v>
      </c>
      <c r="G7" s="26">
        <v>3</v>
      </c>
      <c r="H7" s="27">
        <v>3000</v>
      </c>
      <c r="I7" s="26" t="b">
        <v>0</v>
      </c>
      <c r="J7" s="26" t="b">
        <v>1</v>
      </c>
    </row>
    <row r="8" spans="1:10" ht="14.25" customHeight="1" x14ac:dyDescent="0.3">
      <c r="A8" s="26" t="s">
        <v>114</v>
      </c>
      <c r="B8" s="29" t="s">
        <v>58</v>
      </c>
      <c r="C8" s="30">
        <v>44648</v>
      </c>
      <c r="D8" s="29"/>
      <c r="E8" s="28">
        <v>799000</v>
      </c>
      <c r="F8" s="26">
        <v>6</v>
      </c>
      <c r="G8" s="26">
        <v>5</v>
      </c>
      <c r="H8" s="27">
        <v>4800</v>
      </c>
      <c r="I8" s="26" t="b">
        <v>0</v>
      </c>
      <c r="J8" s="26" t="b">
        <v>0</v>
      </c>
    </row>
    <row r="9" spans="1:10" ht="14.25" customHeight="1" x14ac:dyDescent="0.3">
      <c r="A9" s="26" t="s">
        <v>115</v>
      </c>
      <c r="B9" s="29" t="s">
        <v>53</v>
      </c>
      <c r="C9" s="30">
        <v>44651</v>
      </c>
      <c r="D9" s="29"/>
      <c r="E9" s="28">
        <v>309900</v>
      </c>
      <c r="F9" s="26">
        <v>5</v>
      </c>
      <c r="G9" s="26">
        <v>3</v>
      </c>
      <c r="H9" s="27">
        <v>2447</v>
      </c>
      <c r="I9" s="26" t="b">
        <v>1</v>
      </c>
      <c r="J9" s="26" t="b">
        <v>0</v>
      </c>
    </row>
    <row r="10" spans="1:10" ht="14.25" customHeight="1" x14ac:dyDescent="0.3">
      <c r="A10" s="26" t="s">
        <v>116</v>
      </c>
      <c r="B10" s="29" t="s">
        <v>48</v>
      </c>
      <c r="C10" s="30">
        <v>44653</v>
      </c>
      <c r="D10" s="29">
        <v>45192</v>
      </c>
      <c r="E10" s="28">
        <v>248500</v>
      </c>
      <c r="F10" s="26">
        <v>4</v>
      </c>
      <c r="G10" s="26">
        <v>2.5</v>
      </c>
      <c r="H10" s="27">
        <v>2101</v>
      </c>
      <c r="I10" s="26" t="b">
        <v>1</v>
      </c>
      <c r="J10" s="26" t="b">
        <v>1</v>
      </c>
    </row>
    <row r="11" spans="1:10" ht="14.25" customHeight="1" x14ac:dyDescent="0.3">
      <c r="A11" s="26" t="s">
        <v>117</v>
      </c>
      <c r="B11" s="29" t="s">
        <v>109</v>
      </c>
      <c r="C11" s="29">
        <v>44659</v>
      </c>
      <c r="D11" s="29">
        <v>45139</v>
      </c>
      <c r="E11" s="28">
        <v>339900</v>
      </c>
      <c r="F11" s="26">
        <v>3</v>
      </c>
      <c r="G11" s="26">
        <v>2</v>
      </c>
      <c r="H11" s="27">
        <v>1828</v>
      </c>
      <c r="I11" s="26" t="b">
        <v>1</v>
      </c>
      <c r="J11" s="26" t="b">
        <v>1</v>
      </c>
    </row>
    <row r="12" spans="1:10" ht="14.25" customHeight="1" x14ac:dyDescent="0.3">
      <c r="A12" s="26" t="s">
        <v>118</v>
      </c>
      <c r="B12" s="29" t="s">
        <v>109</v>
      </c>
      <c r="C12" s="29">
        <v>44659</v>
      </c>
      <c r="D12" s="29">
        <v>44864</v>
      </c>
      <c r="E12" s="28">
        <v>259900</v>
      </c>
      <c r="F12" s="26">
        <v>4</v>
      </c>
      <c r="G12" s="26">
        <v>3</v>
      </c>
      <c r="H12" s="27">
        <v>1734</v>
      </c>
      <c r="I12" s="26" t="b">
        <v>0</v>
      </c>
      <c r="J12" s="26" t="b">
        <v>1</v>
      </c>
    </row>
    <row r="13" spans="1:10" ht="14.25" customHeight="1" x14ac:dyDescent="0.3">
      <c r="A13" s="26" t="s">
        <v>119</v>
      </c>
      <c r="B13" s="29" t="s">
        <v>109</v>
      </c>
      <c r="C13" s="29">
        <v>44659</v>
      </c>
      <c r="D13" s="30">
        <v>45000</v>
      </c>
      <c r="E13" s="28">
        <v>339900</v>
      </c>
      <c r="F13" s="26">
        <v>3</v>
      </c>
      <c r="G13" s="26">
        <v>2</v>
      </c>
      <c r="H13" s="27">
        <v>1828</v>
      </c>
      <c r="I13" s="26" t="b">
        <v>1</v>
      </c>
      <c r="J13" s="26" t="b">
        <v>1</v>
      </c>
    </row>
    <row r="14" spans="1:10" ht="14.25" customHeight="1" x14ac:dyDescent="0.3">
      <c r="A14" s="26" t="s">
        <v>120</v>
      </c>
      <c r="B14" s="29" t="s">
        <v>48</v>
      </c>
      <c r="C14" s="29">
        <v>44665</v>
      </c>
      <c r="D14" s="29"/>
      <c r="E14" s="28">
        <v>229900</v>
      </c>
      <c r="F14" s="26">
        <v>3</v>
      </c>
      <c r="G14" s="26">
        <v>3</v>
      </c>
      <c r="H14" s="27">
        <v>2266</v>
      </c>
      <c r="I14" s="26" t="b">
        <v>0</v>
      </c>
      <c r="J14" s="26" t="b">
        <v>0</v>
      </c>
    </row>
    <row r="15" spans="1:10" ht="14.25" customHeight="1" x14ac:dyDescent="0.3">
      <c r="A15" s="26" t="s">
        <v>121</v>
      </c>
      <c r="B15" s="29" t="s">
        <v>48</v>
      </c>
      <c r="C15" s="29">
        <v>44665</v>
      </c>
      <c r="D15" s="29">
        <v>44861</v>
      </c>
      <c r="E15" s="28">
        <v>259900</v>
      </c>
      <c r="F15" s="26">
        <v>3</v>
      </c>
      <c r="G15" s="26">
        <v>2.5</v>
      </c>
      <c r="H15" s="27">
        <v>2122</v>
      </c>
      <c r="I15" s="26" t="b">
        <v>0</v>
      </c>
      <c r="J15" s="26" t="b">
        <v>1</v>
      </c>
    </row>
    <row r="16" spans="1:10" ht="14.25" customHeight="1" x14ac:dyDescent="0.3">
      <c r="A16" s="26" t="s">
        <v>122</v>
      </c>
      <c r="B16" s="29" t="s">
        <v>48</v>
      </c>
      <c r="C16" s="29">
        <v>44666</v>
      </c>
      <c r="D16" s="30">
        <v>45119</v>
      </c>
      <c r="E16" s="28">
        <v>238000</v>
      </c>
      <c r="F16" s="26">
        <v>4</v>
      </c>
      <c r="G16" s="26">
        <v>2.5</v>
      </c>
      <c r="H16" s="27">
        <v>1590</v>
      </c>
      <c r="I16" s="26" t="b">
        <v>0</v>
      </c>
      <c r="J16" s="26" t="b">
        <v>1</v>
      </c>
    </row>
    <row r="17" spans="1:10" ht="14.25" customHeight="1" x14ac:dyDescent="0.3">
      <c r="A17" s="26" t="s">
        <v>123</v>
      </c>
      <c r="B17" s="29" t="s">
        <v>51</v>
      </c>
      <c r="C17" s="29">
        <v>44668</v>
      </c>
      <c r="D17" s="29">
        <v>44872</v>
      </c>
      <c r="E17" s="28">
        <v>405000</v>
      </c>
      <c r="F17" s="26">
        <v>3</v>
      </c>
      <c r="G17" s="26">
        <v>3</v>
      </c>
      <c r="H17" s="27">
        <v>2444</v>
      </c>
      <c r="I17" s="26" t="b">
        <v>1</v>
      </c>
      <c r="J17" s="26" t="b">
        <v>1</v>
      </c>
    </row>
    <row r="18" spans="1:10" ht="14.25" customHeight="1" x14ac:dyDescent="0.3">
      <c r="A18" s="26" t="s">
        <v>124</v>
      </c>
      <c r="B18" s="29" t="s">
        <v>48</v>
      </c>
      <c r="C18" s="29">
        <v>44675</v>
      </c>
      <c r="D18" s="29">
        <v>45164</v>
      </c>
      <c r="E18" s="28">
        <v>349900</v>
      </c>
      <c r="F18" s="26">
        <v>4</v>
      </c>
      <c r="G18" s="26">
        <v>3</v>
      </c>
      <c r="H18" s="27">
        <v>2290</v>
      </c>
      <c r="I18" s="26" t="b">
        <v>1</v>
      </c>
      <c r="J18" s="26" t="b">
        <v>1</v>
      </c>
    </row>
    <row r="19" spans="1:10" ht="14.25" customHeight="1" x14ac:dyDescent="0.3">
      <c r="A19" s="26" t="s">
        <v>125</v>
      </c>
      <c r="B19" s="29" t="s">
        <v>48</v>
      </c>
      <c r="C19" s="29">
        <v>44677</v>
      </c>
      <c r="D19" s="29"/>
      <c r="E19" s="28">
        <v>369900</v>
      </c>
      <c r="F19" s="26">
        <v>3</v>
      </c>
      <c r="G19" s="26">
        <v>2.5</v>
      </c>
      <c r="H19" s="27">
        <v>2030</v>
      </c>
      <c r="I19" s="26" t="b">
        <v>1</v>
      </c>
      <c r="J19" s="26" t="b">
        <v>0</v>
      </c>
    </row>
    <row r="20" spans="1:10" ht="14.25" customHeight="1" x14ac:dyDescent="0.3">
      <c r="A20" s="26" t="s">
        <v>126</v>
      </c>
      <c r="B20" s="29" t="s">
        <v>48</v>
      </c>
      <c r="C20" s="29">
        <v>44688</v>
      </c>
      <c r="D20" s="29">
        <v>44963</v>
      </c>
      <c r="E20" s="28">
        <v>359900</v>
      </c>
      <c r="F20" s="26">
        <v>3</v>
      </c>
      <c r="G20" s="26">
        <v>3</v>
      </c>
      <c r="H20" s="27">
        <v>1839</v>
      </c>
      <c r="I20" s="26" t="b">
        <v>0</v>
      </c>
      <c r="J20" s="26" t="b">
        <v>1</v>
      </c>
    </row>
    <row r="21" spans="1:10" ht="14.25" customHeight="1" x14ac:dyDescent="0.3">
      <c r="A21" s="26" t="s">
        <v>127</v>
      </c>
      <c r="B21" s="29" t="s">
        <v>109</v>
      </c>
      <c r="C21" s="29">
        <v>44698</v>
      </c>
      <c r="D21" s="30">
        <v>44993</v>
      </c>
      <c r="E21" s="28">
        <v>349000</v>
      </c>
      <c r="F21" s="26">
        <v>4</v>
      </c>
      <c r="G21" s="26">
        <v>2.5</v>
      </c>
      <c r="H21" s="27">
        <v>2730</v>
      </c>
      <c r="I21" s="26" t="b">
        <v>1</v>
      </c>
      <c r="J21" s="26" t="b">
        <v>1</v>
      </c>
    </row>
    <row r="22" spans="1:10" ht="14.25" customHeight="1" x14ac:dyDescent="0.3">
      <c r="A22" s="26" t="s">
        <v>128</v>
      </c>
      <c r="B22" s="29" t="s">
        <v>48</v>
      </c>
      <c r="C22" s="30">
        <v>44701</v>
      </c>
      <c r="D22" s="29"/>
      <c r="E22" s="28">
        <v>229900</v>
      </c>
      <c r="F22" s="26">
        <v>4</v>
      </c>
      <c r="G22" s="26">
        <v>3</v>
      </c>
      <c r="H22" s="27">
        <v>2041</v>
      </c>
      <c r="I22" s="26" t="b">
        <v>0</v>
      </c>
      <c r="J22" s="26" t="b">
        <v>0</v>
      </c>
    </row>
    <row r="23" spans="1:10" ht="14.25" customHeight="1" x14ac:dyDescent="0.3">
      <c r="A23" s="26" t="s">
        <v>129</v>
      </c>
      <c r="B23" s="29" t="s">
        <v>48</v>
      </c>
      <c r="C23" s="30">
        <v>44711</v>
      </c>
      <c r="D23" s="29"/>
      <c r="E23" s="28">
        <v>379900</v>
      </c>
      <c r="F23" s="26">
        <v>3</v>
      </c>
      <c r="G23" s="26">
        <v>2.5</v>
      </c>
      <c r="H23" s="27">
        <v>2468</v>
      </c>
      <c r="I23" s="26" t="b">
        <v>0</v>
      </c>
      <c r="J23" s="26" t="b">
        <v>0</v>
      </c>
    </row>
    <row r="24" spans="1:10" ht="14.25" customHeight="1" x14ac:dyDescent="0.3">
      <c r="A24" s="26" t="s">
        <v>130</v>
      </c>
      <c r="B24" s="29" t="s">
        <v>48</v>
      </c>
      <c r="C24" s="30">
        <v>44711</v>
      </c>
      <c r="D24" s="29"/>
      <c r="E24" s="28">
        <v>379900</v>
      </c>
      <c r="F24" s="26">
        <v>3</v>
      </c>
      <c r="G24" s="26">
        <v>2.5</v>
      </c>
      <c r="H24" s="27">
        <v>2468</v>
      </c>
      <c r="I24" s="26" t="b">
        <v>0</v>
      </c>
      <c r="J24" s="26" t="b">
        <v>0</v>
      </c>
    </row>
    <row r="25" spans="1:10" ht="14.25" customHeight="1" x14ac:dyDescent="0.3">
      <c r="A25" s="26" t="s">
        <v>131</v>
      </c>
      <c r="B25" s="29" t="s">
        <v>48</v>
      </c>
      <c r="C25" s="29">
        <v>44723</v>
      </c>
      <c r="D25" s="29"/>
      <c r="E25" s="28">
        <v>235990</v>
      </c>
      <c r="F25" s="26">
        <v>4</v>
      </c>
      <c r="G25" s="26">
        <v>2</v>
      </c>
      <c r="H25" s="27">
        <v>1656</v>
      </c>
      <c r="I25" s="26" t="b">
        <v>1</v>
      </c>
      <c r="J25" s="26" t="b">
        <v>0</v>
      </c>
    </row>
    <row r="26" spans="1:10" ht="14.25" customHeight="1" x14ac:dyDescent="0.3">
      <c r="A26" s="26" t="s">
        <v>132</v>
      </c>
      <c r="B26" s="29" t="s">
        <v>51</v>
      </c>
      <c r="C26" s="29">
        <v>44728</v>
      </c>
      <c r="D26" s="29"/>
      <c r="E26" s="28">
        <v>359000</v>
      </c>
      <c r="F26" s="26">
        <v>3</v>
      </c>
      <c r="G26" s="26">
        <v>2.5</v>
      </c>
      <c r="H26" s="27">
        <v>2210</v>
      </c>
      <c r="I26" s="26" t="b">
        <v>0</v>
      </c>
      <c r="J26" s="26" t="b">
        <v>0</v>
      </c>
    </row>
    <row r="27" spans="1:10" ht="14.25" customHeight="1" x14ac:dyDescent="0.3">
      <c r="A27" s="26" t="s">
        <v>133</v>
      </c>
      <c r="B27" s="29" t="s">
        <v>48</v>
      </c>
      <c r="C27" s="29">
        <v>44731</v>
      </c>
      <c r="D27" s="29"/>
      <c r="E27" s="28">
        <v>355000</v>
      </c>
      <c r="F27" s="26">
        <v>4</v>
      </c>
      <c r="G27" s="26">
        <v>2.5</v>
      </c>
      <c r="H27" s="27">
        <v>2647</v>
      </c>
      <c r="I27" s="26" t="b">
        <v>1</v>
      </c>
      <c r="J27" s="26" t="b">
        <v>0</v>
      </c>
    </row>
    <row r="28" spans="1:10" ht="14.25" customHeight="1" x14ac:dyDescent="0.3">
      <c r="A28" s="26" t="s">
        <v>134</v>
      </c>
      <c r="B28" s="29" t="s">
        <v>58</v>
      </c>
      <c r="C28" s="29">
        <v>44736</v>
      </c>
      <c r="D28" s="29"/>
      <c r="E28" s="28">
        <v>229500</v>
      </c>
      <c r="F28" s="26">
        <v>6</v>
      </c>
      <c r="G28" s="26">
        <v>3</v>
      </c>
      <c r="H28" s="27">
        <v>2700</v>
      </c>
      <c r="I28" s="26" t="b">
        <v>1</v>
      </c>
      <c r="J28" s="26" t="b">
        <v>0</v>
      </c>
    </row>
    <row r="29" spans="1:10" ht="14.25" customHeight="1" x14ac:dyDescent="0.3">
      <c r="A29" s="26" t="s">
        <v>135</v>
      </c>
      <c r="B29" s="29" t="s">
        <v>58</v>
      </c>
      <c r="C29" s="29">
        <v>44750</v>
      </c>
      <c r="D29" s="29"/>
      <c r="E29" s="28">
        <v>374900</v>
      </c>
      <c r="F29" s="26">
        <v>4</v>
      </c>
      <c r="G29" s="26">
        <v>3</v>
      </c>
      <c r="H29" s="27">
        <v>3927</v>
      </c>
      <c r="I29" s="26" t="b">
        <v>0</v>
      </c>
      <c r="J29" s="26" t="b">
        <v>0</v>
      </c>
    </row>
    <row r="30" spans="1:10" ht="14.25" customHeight="1" x14ac:dyDescent="0.3">
      <c r="A30" s="26" t="s">
        <v>136</v>
      </c>
      <c r="B30" s="29" t="s">
        <v>48</v>
      </c>
      <c r="C30" s="30">
        <v>44757</v>
      </c>
      <c r="D30" s="29"/>
      <c r="E30" s="28">
        <v>349000</v>
      </c>
      <c r="F30" s="26">
        <v>4</v>
      </c>
      <c r="G30" s="26">
        <v>3</v>
      </c>
      <c r="H30" s="27">
        <v>3930</v>
      </c>
      <c r="I30" s="26" t="b">
        <v>1</v>
      </c>
      <c r="J30" s="26" t="b">
        <v>0</v>
      </c>
    </row>
    <row r="31" spans="1:10" ht="14.25" customHeight="1" x14ac:dyDescent="0.3">
      <c r="A31" s="26" t="s">
        <v>137</v>
      </c>
      <c r="B31" s="29" t="s">
        <v>48</v>
      </c>
      <c r="C31" s="29">
        <v>44758</v>
      </c>
      <c r="D31" s="29"/>
      <c r="E31" s="28">
        <v>369900</v>
      </c>
      <c r="F31" s="26">
        <v>5</v>
      </c>
      <c r="G31" s="26">
        <v>3</v>
      </c>
      <c r="H31" s="27">
        <v>2477</v>
      </c>
      <c r="I31" s="26" t="b">
        <v>0</v>
      </c>
      <c r="J31" s="26" t="b">
        <v>0</v>
      </c>
    </row>
    <row r="32" spans="1:10" ht="14.25" customHeight="1" x14ac:dyDescent="0.3">
      <c r="A32" s="26" t="s">
        <v>138</v>
      </c>
      <c r="B32" s="29" t="s">
        <v>48</v>
      </c>
      <c r="C32" s="29">
        <v>44764</v>
      </c>
      <c r="D32" s="29"/>
      <c r="E32" s="28">
        <v>215000</v>
      </c>
      <c r="F32" s="26">
        <v>4</v>
      </c>
      <c r="G32" s="26">
        <v>2.5</v>
      </c>
      <c r="H32" s="27">
        <v>1640</v>
      </c>
      <c r="I32" s="26" t="b">
        <v>1</v>
      </c>
      <c r="J32" s="26" t="b">
        <v>0</v>
      </c>
    </row>
    <row r="33" spans="1:10" ht="14.25" customHeight="1" x14ac:dyDescent="0.3">
      <c r="A33" s="26" t="s">
        <v>139</v>
      </c>
      <c r="B33" s="29" t="s">
        <v>48</v>
      </c>
      <c r="C33" s="29">
        <v>44769</v>
      </c>
      <c r="D33" s="29"/>
      <c r="E33" s="28">
        <v>359900</v>
      </c>
      <c r="F33" s="26">
        <v>3</v>
      </c>
      <c r="G33" s="26">
        <v>2</v>
      </c>
      <c r="H33" s="27">
        <v>2198</v>
      </c>
      <c r="I33" s="26" t="b">
        <v>1</v>
      </c>
      <c r="J33" s="26" t="b">
        <v>0</v>
      </c>
    </row>
    <row r="34" spans="1:10" ht="14.25" customHeight="1" x14ac:dyDescent="0.3">
      <c r="A34" s="26" t="s">
        <v>140</v>
      </c>
      <c r="B34" s="29" t="s">
        <v>48</v>
      </c>
      <c r="C34" s="29">
        <v>44771</v>
      </c>
      <c r="D34" s="29"/>
      <c r="E34" s="28">
        <v>349000</v>
      </c>
      <c r="F34" s="26">
        <v>3</v>
      </c>
      <c r="G34" s="26">
        <v>2.5</v>
      </c>
      <c r="H34" s="27">
        <v>2000</v>
      </c>
      <c r="I34" s="26" t="b">
        <v>1</v>
      </c>
      <c r="J34" s="26" t="b">
        <v>0</v>
      </c>
    </row>
    <row r="35" spans="1:10" ht="14.25" customHeight="1" x14ac:dyDescent="0.3">
      <c r="A35" s="26" t="s">
        <v>141</v>
      </c>
      <c r="B35" s="29" t="s">
        <v>48</v>
      </c>
      <c r="C35" s="29">
        <v>44774</v>
      </c>
      <c r="D35" s="29">
        <v>45171</v>
      </c>
      <c r="E35" s="28">
        <v>379000</v>
      </c>
      <c r="F35" s="26">
        <v>3</v>
      </c>
      <c r="G35" s="26">
        <v>3</v>
      </c>
      <c r="H35" s="27">
        <v>2354</v>
      </c>
      <c r="I35" s="26" t="b">
        <v>0</v>
      </c>
      <c r="J35" s="26" t="b">
        <v>1</v>
      </c>
    </row>
    <row r="36" spans="1:10" ht="14.25" customHeight="1" x14ac:dyDescent="0.3">
      <c r="A36" s="26" t="s">
        <v>141</v>
      </c>
      <c r="B36" s="29" t="s">
        <v>48</v>
      </c>
      <c r="C36" s="29">
        <v>44774</v>
      </c>
      <c r="D36" s="30">
        <v>45171</v>
      </c>
      <c r="E36" s="28">
        <v>379000</v>
      </c>
      <c r="F36" s="26">
        <v>3</v>
      </c>
      <c r="G36" s="26">
        <v>3</v>
      </c>
      <c r="H36" s="27">
        <v>2354</v>
      </c>
      <c r="I36" s="26" t="b">
        <v>0</v>
      </c>
      <c r="J36" s="26" t="b">
        <v>1</v>
      </c>
    </row>
    <row r="37" spans="1:10" ht="14.25" customHeight="1" x14ac:dyDescent="0.3">
      <c r="A37" s="26" t="s">
        <v>142</v>
      </c>
      <c r="B37" s="29" t="s">
        <v>48</v>
      </c>
      <c r="C37" s="30">
        <v>44776</v>
      </c>
      <c r="D37" s="29">
        <v>45236</v>
      </c>
      <c r="E37" s="28">
        <v>345000</v>
      </c>
      <c r="F37" s="26">
        <v>4</v>
      </c>
      <c r="G37" s="26">
        <v>3</v>
      </c>
      <c r="H37" s="27">
        <v>2388</v>
      </c>
      <c r="I37" s="26" t="b">
        <v>1</v>
      </c>
      <c r="J37" s="26" t="b">
        <v>1</v>
      </c>
    </row>
    <row r="38" spans="1:10" ht="14.25" customHeight="1" x14ac:dyDescent="0.3">
      <c r="A38" s="26" t="s">
        <v>143</v>
      </c>
      <c r="B38" s="29" t="s">
        <v>48</v>
      </c>
      <c r="C38" s="29">
        <v>44783</v>
      </c>
      <c r="D38" s="29"/>
      <c r="E38" s="28">
        <v>389000</v>
      </c>
      <c r="F38" s="26">
        <v>4</v>
      </c>
      <c r="G38" s="26">
        <v>3</v>
      </c>
      <c r="H38" s="27">
        <v>3109</v>
      </c>
      <c r="I38" s="26" t="b">
        <v>0</v>
      </c>
      <c r="J38" s="26" t="b">
        <v>0</v>
      </c>
    </row>
    <row r="39" spans="1:10" ht="14.25" customHeight="1" x14ac:dyDescent="0.3">
      <c r="A39" s="26" t="s">
        <v>144</v>
      </c>
      <c r="B39" s="29" t="s">
        <v>48</v>
      </c>
      <c r="C39" s="29">
        <v>44789</v>
      </c>
      <c r="D39" s="29"/>
      <c r="E39" s="28">
        <v>264900</v>
      </c>
      <c r="F39" s="26">
        <v>3</v>
      </c>
      <c r="G39" s="26">
        <v>2.5</v>
      </c>
      <c r="H39" s="27">
        <v>2062</v>
      </c>
      <c r="I39" s="26" t="b">
        <v>0</v>
      </c>
      <c r="J39" s="26" t="b">
        <v>0</v>
      </c>
    </row>
    <row r="40" spans="1:10" ht="14.25" customHeight="1" x14ac:dyDescent="0.3">
      <c r="A40" s="26" t="s">
        <v>145</v>
      </c>
      <c r="B40" s="29" t="s">
        <v>48</v>
      </c>
      <c r="C40" s="29">
        <v>44795</v>
      </c>
      <c r="D40" s="29"/>
      <c r="E40" s="28">
        <v>1200500</v>
      </c>
      <c r="F40" s="26">
        <v>5</v>
      </c>
      <c r="G40" s="26">
        <v>5</v>
      </c>
      <c r="H40" s="27">
        <v>4696</v>
      </c>
      <c r="I40" s="26" t="b">
        <v>1</v>
      </c>
      <c r="J40" s="26" t="b">
        <v>0</v>
      </c>
    </row>
    <row r="41" spans="1:10" ht="14.25" customHeight="1" x14ac:dyDescent="0.3">
      <c r="A41" s="26" t="s">
        <v>145</v>
      </c>
      <c r="B41" s="29" t="s">
        <v>48</v>
      </c>
      <c r="C41" s="30">
        <v>44795</v>
      </c>
      <c r="D41" s="29"/>
      <c r="E41" s="28">
        <v>1200500</v>
      </c>
      <c r="F41" s="26">
        <v>5</v>
      </c>
      <c r="G41" s="26">
        <v>5</v>
      </c>
      <c r="H41" s="27">
        <v>4696</v>
      </c>
      <c r="I41" s="26" t="b">
        <v>1</v>
      </c>
      <c r="J41" s="26" t="b">
        <v>0</v>
      </c>
    </row>
    <row r="42" spans="1:10" ht="14.25" customHeight="1" x14ac:dyDescent="0.3">
      <c r="A42" s="26" t="s">
        <v>146</v>
      </c>
      <c r="B42" s="29" t="s">
        <v>53</v>
      </c>
      <c r="C42" s="29">
        <v>44824</v>
      </c>
      <c r="D42" s="29"/>
      <c r="E42" s="28">
        <v>239900</v>
      </c>
      <c r="F42" s="26">
        <v>4</v>
      </c>
      <c r="G42" s="26">
        <v>3</v>
      </c>
      <c r="H42" s="27">
        <v>2041</v>
      </c>
      <c r="I42" s="26" t="b">
        <v>0</v>
      </c>
      <c r="J42" s="26" t="b">
        <v>0</v>
      </c>
    </row>
    <row r="43" spans="1:10" ht="14.25" customHeight="1" x14ac:dyDescent="0.3">
      <c r="A43" s="26" t="s">
        <v>147</v>
      </c>
      <c r="B43" s="29" t="s">
        <v>48</v>
      </c>
      <c r="C43" s="29">
        <v>44829</v>
      </c>
      <c r="D43" s="29">
        <v>45310</v>
      </c>
      <c r="E43" s="28">
        <v>349000</v>
      </c>
      <c r="F43" s="26">
        <v>3</v>
      </c>
      <c r="G43" s="26">
        <v>2.5</v>
      </c>
      <c r="H43" s="27">
        <v>1727</v>
      </c>
      <c r="I43" s="26" t="b">
        <v>1</v>
      </c>
      <c r="J43" s="26" t="b">
        <v>1</v>
      </c>
    </row>
    <row r="44" spans="1:10" ht="14.25" customHeight="1" x14ac:dyDescent="0.3">
      <c r="A44" s="26" t="s">
        <v>148</v>
      </c>
      <c r="B44" s="29" t="s">
        <v>48</v>
      </c>
      <c r="C44" s="30">
        <v>44886</v>
      </c>
      <c r="D44" s="29"/>
      <c r="E44" s="28">
        <v>369900</v>
      </c>
      <c r="F44" s="26">
        <v>4</v>
      </c>
      <c r="G44" s="26">
        <v>3</v>
      </c>
      <c r="H44" s="27">
        <v>1988</v>
      </c>
      <c r="I44" s="26" t="b">
        <v>0</v>
      </c>
      <c r="J44" s="26" t="b">
        <v>0</v>
      </c>
    </row>
    <row r="45" spans="1:10" ht="14.25" customHeight="1" x14ac:dyDescent="0.3">
      <c r="B45" s="2"/>
      <c r="C45" s="2"/>
      <c r="D45" s="2"/>
      <c r="E45" s="2"/>
      <c r="F45" s="2"/>
      <c r="G45" s="2"/>
      <c r="H45" s="2"/>
      <c r="I45" s="2"/>
      <c r="J45" s="2"/>
    </row>
    <row r="46" spans="1:10" ht="14.25" customHeight="1" x14ac:dyDescent="0.3">
      <c r="B46" s="2"/>
      <c r="C46" s="32"/>
      <c r="D46" s="32"/>
      <c r="E46" s="2"/>
      <c r="F46" s="2"/>
      <c r="G46" s="2"/>
      <c r="H46" s="2"/>
      <c r="I46" s="2"/>
      <c r="J46" s="2"/>
    </row>
    <row r="47" spans="1:10" ht="14.25" customHeight="1" x14ac:dyDescent="0.3">
      <c r="B47" s="2"/>
      <c r="C47" s="2"/>
      <c r="D47" s="2"/>
      <c r="E47" s="2"/>
      <c r="F47" s="2"/>
      <c r="G47" s="2"/>
      <c r="H47" s="2"/>
      <c r="I47" s="2"/>
      <c r="J47" s="2"/>
    </row>
    <row r="48" spans="1:10" ht="14.25" customHeight="1" x14ac:dyDescent="0.3">
      <c r="B48" s="2"/>
      <c r="C48" s="2"/>
      <c r="D48" s="2"/>
      <c r="E48" s="2"/>
      <c r="F48" s="2"/>
      <c r="G48" s="2"/>
      <c r="H48" s="2"/>
      <c r="I48" s="2"/>
      <c r="J48" s="2"/>
    </row>
    <row r="49" spans="2:10" ht="14.25" customHeight="1" x14ac:dyDescent="0.3">
      <c r="B49" s="2"/>
      <c r="C49" s="2"/>
      <c r="D49" s="2"/>
      <c r="E49" s="2"/>
      <c r="F49" s="2"/>
      <c r="G49" s="2"/>
      <c r="H49" s="2"/>
      <c r="I49" s="2"/>
      <c r="J49" s="2"/>
    </row>
    <row r="50" spans="2:10" ht="14.25" customHeight="1" x14ac:dyDescent="0.3">
      <c r="B50" s="2"/>
      <c r="C50" s="2"/>
      <c r="D50" s="2"/>
      <c r="E50" s="2"/>
      <c r="F50" s="2"/>
      <c r="G50" s="2"/>
      <c r="H50" s="2"/>
      <c r="I50" s="2"/>
      <c r="J50" s="2"/>
    </row>
    <row r="51" spans="2:10" ht="14.25" customHeight="1" x14ac:dyDescent="0.3">
      <c r="B51" s="2"/>
      <c r="C51" s="2"/>
      <c r="D51" s="2"/>
      <c r="E51" s="2"/>
      <c r="F51" s="2"/>
      <c r="G51" s="2"/>
      <c r="H51" s="2"/>
      <c r="I51" s="2"/>
      <c r="J51" s="2"/>
    </row>
    <row r="52" spans="2:10" ht="14.25" customHeight="1" x14ac:dyDescent="0.3">
      <c r="B52" s="2"/>
      <c r="C52" s="2"/>
      <c r="D52" s="2"/>
      <c r="E52" s="2"/>
      <c r="F52" s="2"/>
      <c r="G52" s="2"/>
      <c r="H52" s="2"/>
      <c r="I52" s="2"/>
      <c r="J52" s="2"/>
    </row>
    <row r="53" spans="2:10" ht="14.25" customHeight="1" x14ac:dyDescent="0.3">
      <c r="B53" s="2"/>
      <c r="C53" s="2"/>
      <c r="D53" s="2"/>
      <c r="E53" s="2"/>
      <c r="F53" s="2"/>
      <c r="G53" s="2"/>
      <c r="H53" s="2"/>
      <c r="I53" s="2"/>
      <c r="J53" s="2"/>
    </row>
    <row r="54" spans="2:10" ht="14.25" customHeight="1" x14ac:dyDescent="0.3">
      <c r="B54" s="2"/>
      <c r="C54" s="2"/>
      <c r="D54" s="2"/>
      <c r="E54" s="2"/>
      <c r="F54" s="2"/>
      <c r="G54" s="2"/>
      <c r="H54" s="2"/>
      <c r="I54" s="2"/>
      <c r="J54" s="2"/>
    </row>
    <row r="55" spans="2:10" ht="14.25" customHeight="1" x14ac:dyDescent="0.3">
      <c r="B55" s="2"/>
      <c r="C55" s="2"/>
      <c r="D55" s="2"/>
      <c r="E55" s="2"/>
      <c r="F55" s="2"/>
      <c r="G55" s="2"/>
      <c r="H55" s="2"/>
      <c r="I55" s="2"/>
      <c r="J55" s="2"/>
    </row>
    <row r="56" spans="2:10" ht="14.25" customHeight="1" x14ac:dyDescent="0.3">
      <c r="B56" s="2"/>
      <c r="C56" s="2"/>
      <c r="D56" s="2"/>
      <c r="E56" s="2"/>
      <c r="F56" s="2"/>
      <c r="G56" s="2"/>
      <c r="H56" s="2"/>
      <c r="I56" s="2"/>
      <c r="J56" s="2"/>
    </row>
    <row r="57" spans="2:10" ht="14.25" customHeight="1" x14ac:dyDescent="0.3">
      <c r="B57" s="2"/>
      <c r="C57" s="2"/>
      <c r="D57" s="2"/>
      <c r="E57" s="2"/>
      <c r="F57" s="2"/>
      <c r="G57" s="2"/>
      <c r="H57" s="2"/>
      <c r="I57" s="2"/>
      <c r="J57" s="2"/>
    </row>
    <row r="58" spans="2:10" ht="14.25" customHeight="1" x14ac:dyDescent="0.3">
      <c r="B58" s="2"/>
      <c r="C58" s="2"/>
      <c r="D58" s="2"/>
      <c r="E58" s="2"/>
      <c r="F58" s="2"/>
      <c r="G58" s="2"/>
      <c r="H58" s="2"/>
      <c r="I58" s="2"/>
      <c r="J58" s="2"/>
    </row>
    <row r="59" spans="2:10" ht="14.25" customHeight="1" x14ac:dyDescent="0.3">
      <c r="B59" s="2"/>
      <c r="C59" s="2"/>
      <c r="D59" s="2"/>
      <c r="E59" s="2"/>
      <c r="F59" s="2"/>
      <c r="G59" s="2"/>
      <c r="H59" s="2"/>
      <c r="I59" s="2"/>
      <c r="J59" s="2"/>
    </row>
    <row r="60" spans="2:10" ht="14.25" customHeight="1" x14ac:dyDescent="0.3">
      <c r="B60" s="2"/>
      <c r="C60" s="2"/>
      <c r="D60" s="2"/>
      <c r="E60" s="2"/>
      <c r="F60" s="2"/>
      <c r="G60" s="2"/>
      <c r="H60" s="2"/>
      <c r="I60" s="2"/>
      <c r="J60" s="2"/>
    </row>
    <row r="61" spans="2:10" ht="14.25" customHeight="1" x14ac:dyDescent="0.3">
      <c r="B61" s="2"/>
      <c r="C61" s="2"/>
      <c r="D61" s="2"/>
      <c r="E61" s="2"/>
      <c r="F61" s="2"/>
      <c r="G61" s="2"/>
      <c r="H61" s="2"/>
      <c r="I61" s="2"/>
      <c r="J61" s="2"/>
    </row>
    <row r="62" spans="2:10" ht="14.25" customHeight="1" x14ac:dyDescent="0.3">
      <c r="B62" s="2"/>
      <c r="C62" s="2"/>
      <c r="D62" s="2"/>
      <c r="E62" s="2"/>
      <c r="F62" s="2"/>
      <c r="G62" s="2"/>
      <c r="H62" s="2"/>
      <c r="I62" s="2"/>
      <c r="J62" s="2"/>
    </row>
    <row r="63" spans="2:10" ht="14.25" customHeight="1" x14ac:dyDescent="0.3">
      <c r="B63" s="2"/>
      <c r="C63" s="2"/>
      <c r="D63" s="2"/>
      <c r="E63" s="2"/>
      <c r="F63" s="2"/>
      <c r="G63" s="2"/>
      <c r="H63" s="2"/>
      <c r="I63" s="2"/>
      <c r="J63" s="2"/>
    </row>
    <row r="64" spans="2:10" ht="14.25" customHeight="1" x14ac:dyDescent="0.3">
      <c r="B64" s="2"/>
      <c r="C64" s="2"/>
      <c r="D64" s="2"/>
      <c r="E64" s="2"/>
      <c r="F64" s="2"/>
      <c r="G64" s="2"/>
      <c r="H64" s="2"/>
      <c r="I64" s="2"/>
      <c r="J64" s="2"/>
    </row>
    <row r="65" spans="2:10" ht="14.25" customHeight="1" x14ac:dyDescent="0.3">
      <c r="B65" s="2"/>
      <c r="C65" s="2"/>
      <c r="D65" s="2"/>
      <c r="E65" s="2"/>
      <c r="F65" s="2"/>
      <c r="G65" s="2"/>
      <c r="H65" s="2"/>
      <c r="I65" s="2"/>
      <c r="J65" s="2"/>
    </row>
    <row r="66" spans="2:10" ht="14.25" customHeight="1" x14ac:dyDescent="0.3">
      <c r="B66" s="2"/>
      <c r="C66" s="2"/>
      <c r="D66" s="2"/>
      <c r="E66" s="2"/>
      <c r="F66" s="2"/>
      <c r="G66" s="2"/>
      <c r="H66" s="2"/>
      <c r="I66" s="2"/>
      <c r="J66" s="2"/>
    </row>
    <row r="67" spans="2:10" ht="14.25" customHeight="1" x14ac:dyDescent="0.3">
      <c r="B67" s="2"/>
      <c r="C67" s="2"/>
      <c r="D67" s="2"/>
      <c r="E67" s="2"/>
      <c r="F67" s="2"/>
      <c r="G67" s="2"/>
      <c r="H67" s="2"/>
      <c r="I67" s="2"/>
      <c r="J67" s="2"/>
    </row>
    <row r="68" spans="2:10" ht="14.25" customHeight="1" x14ac:dyDescent="0.3">
      <c r="B68" s="2"/>
      <c r="C68" s="2"/>
      <c r="D68" s="2"/>
      <c r="E68" s="2"/>
      <c r="F68" s="2"/>
      <c r="G68" s="2"/>
      <c r="H68" s="2"/>
      <c r="I68" s="2"/>
      <c r="J68" s="2"/>
    </row>
    <row r="69" spans="2:10" ht="14.25" customHeight="1" x14ac:dyDescent="0.3">
      <c r="B69" s="2"/>
      <c r="C69" s="2"/>
      <c r="D69" s="2"/>
      <c r="E69" s="2"/>
      <c r="F69" s="2"/>
      <c r="G69" s="2"/>
      <c r="H69" s="2"/>
      <c r="I69" s="2"/>
      <c r="J69" s="2"/>
    </row>
    <row r="70" spans="2:10" ht="14.25" customHeight="1" x14ac:dyDescent="0.3">
      <c r="B70" s="2"/>
      <c r="C70" s="2"/>
      <c r="D70" s="2"/>
      <c r="E70" s="2"/>
      <c r="F70" s="2"/>
      <c r="G70" s="2"/>
      <c r="H70" s="2"/>
      <c r="I70" s="2"/>
      <c r="J70" s="2"/>
    </row>
    <row r="71" spans="2:10" ht="14.25" customHeight="1" x14ac:dyDescent="0.3">
      <c r="B71" s="2"/>
      <c r="C71" s="2"/>
      <c r="D71" s="2"/>
      <c r="E71" s="2"/>
      <c r="F71" s="2"/>
      <c r="G71" s="2"/>
      <c r="H71" s="2"/>
      <c r="I71" s="2"/>
      <c r="J71" s="2"/>
    </row>
    <row r="72" spans="2:10" ht="14.25" customHeight="1" x14ac:dyDescent="0.3">
      <c r="B72" s="2"/>
      <c r="C72" s="2"/>
      <c r="D72" s="2"/>
      <c r="E72" s="2"/>
      <c r="F72" s="2"/>
      <c r="G72" s="2"/>
      <c r="H72" s="2"/>
      <c r="I72" s="2"/>
      <c r="J72" s="2"/>
    </row>
    <row r="73" spans="2:10" ht="14.25" customHeight="1" x14ac:dyDescent="0.3">
      <c r="B73" s="2"/>
      <c r="C73" s="2"/>
      <c r="D73" s="2"/>
      <c r="E73" s="2"/>
      <c r="F73" s="2"/>
      <c r="G73" s="2"/>
      <c r="H73" s="2"/>
      <c r="I73" s="2"/>
      <c r="J73" s="2"/>
    </row>
    <row r="74" spans="2:10" ht="14.25" customHeight="1" x14ac:dyDescent="0.3">
      <c r="B74" s="2"/>
      <c r="C74" s="2"/>
      <c r="D74" s="2"/>
      <c r="E74" s="2"/>
      <c r="F74" s="2"/>
      <c r="G74" s="2"/>
      <c r="H74" s="2"/>
      <c r="I74" s="2"/>
      <c r="J74" s="2"/>
    </row>
    <row r="75" spans="2:10" ht="14.25" customHeight="1" x14ac:dyDescent="0.3">
      <c r="B75" s="2"/>
      <c r="C75" s="2"/>
      <c r="D75" s="2"/>
      <c r="E75" s="2"/>
      <c r="F75" s="2"/>
      <c r="G75" s="2"/>
      <c r="H75" s="2"/>
      <c r="I75" s="2"/>
      <c r="J75" s="2"/>
    </row>
    <row r="76" spans="2:10" ht="14.25" customHeight="1" x14ac:dyDescent="0.3">
      <c r="B76" s="2"/>
      <c r="C76" s="2"/>
      <c r="D76" s="2"/>
      <c r="E76" s="2"/>
      <c r="F76" s="2"/>
      <c r="G76" s="2"/>
      <c r="H76" s="2"/>
      <c r="I76" s="2"/>
      <c r="J76" s="2"/>
    </row>
    <row r="77" spans="2:10" ht="14.25" customHeight="1" x14ac:dyDescent="0.3">
      <c r="B77" s="2"/>
      <c r="C77" s="2"/>
      <c r="D77" s="2"/>
      <c r="E77" s="2"/>
      <c r="F77" s="2"/>
      <c r="G77" s="2"/>
      <c r="H77" s="2"/>
      <c r="I77" s="2"/>
      <c r="J77" s="2"/>
    </row>
    <row r="78" spans="2:10" ht="14.25" customHeight="1" x14ac:dyDescent="0.3">
      <c r="B78" s="2"/>
      <c r="C78" s="2"/>
      <c r="D78" s="2"/>
      <c r="E78" s="2"/>
      <c r="F78" s="2"/>
      <c r="G78" s="2"/>
      <c r="H78" s="2"/>
      <c r="I78" s="2"/>
      <c r="J78" s="2"/>
    </row>
    <row r="79" spans="2:10" ht="14.25" customHeight="1" x14ac:dyDescent="0.3">
      <c r="B79" s="2"/>
      <c r="C79" s="2"/>
      <c r="D79" s="2"/>
      <c r="E79" s="2"/>
      <c r="F79" s="2"/>
      <c r="G79" s="2"/>
      <c r="H79" s="2"/>
      <c r="I79" s="2"/>
      <c r="J79" s="2"/>
    </row>
    <row r="80" spans="2:10" ht="14.25" customHeight="1" x14ac:dyDescent="0.3">
      <c r="B80" s="2"/>
      <c r="C80" s="2"/>
      <c r="D80" s="2"/>
      <c r="E80" s="2"/>
      <c r="F80" s="2"/>
      <c r="G80" s="2"/>
      <c r="H80" s="2"/>
      <c r="I80" s="2"/>
      <c r="J80" s="2"/>
    </row>
    <row r="81" spans="2:10" ht="14.25" customHeight="1" x14ac:dyDescent="0.3">
      <c r="B81" s="2"/>
      <c r="C81" s="2"/>
      <c r="D81" s="2"/>
      <c r="E81" s="2"/>
      <c r="F81" s="2"/>
      <c r="G81" s="2"/>
      <c r="H81" s="2"/>
      <c r="I81" s="2"/>
      <c r="J81" s="2"/>
    </row>
    <row r="82" spans="2:10" ht="14.25" customHeight="1" x14ac:dyDescent="0.3">
      <c r="B82" s="2"/>
      <c r="C82" s="2"/>
      <c r="D82" s="2"/>
      <c r="E82" s="2"/>
      <c r="F82" s="2"/>
      <c r="G82" s="2"/>
      <c r="H82" s="2"/>
      <c r="I82" s="2"/>
      <c r="J82" s="2"/>
    </row>
    <row r="83" spans="2:10" ht="14.25" customHeight="1" x14ac:dyDescent="0.3">
      <c r="B83" s="2"/>
      <c r="C83" s="2"/>
      <c r="D83" s="2"/>
      <c r="E83" s="2"/>
      <c r="F83" s="2"/>
      <c r="G83" s="2"/>
      <c r="H83" s="2"/>
      <c r="I83" s="2"/>
      <c r="J83" s="2"/>
    </row>
    <row r="84" spans="2:10" ht="14.25" customHeight="1" x14ac:dyDescent="0.3">
      <c r="B84" s="2"/>
      <c r="C84" s="2"/>
      <c r="D84" s="2"/>
      <c r="E84" s="2"/>
      <c r="F84" s="2"/>
      <c r="G84" s="2"/>
      <c r="H84" s="2"/>
      <c r="I84" s="2"/>
      <c r="J84" s="2"/>
    </row>
    <row r="85" spans="2:10" ht="14.25" customHeight="1" x14ac:dyDescent="0.3">
      <c r="B85" s="2"/>
      <c r="C85" s="2"/>
      <c r="D85" s="2"/>
      <c r="E85" s="2"/>
      <c r="F85" s="2"/>
      <c r="G85" s="2"/>
      <c r="H85" s="2"/>
      <c r="I85" s="2"/>
      <c r="J85" s="2"/>
    </row>
    <row r="86" spans="2:10" ht="14.25" customHeight="1" x14ac:dyDescent="0.3">
      <c r="B86" s="2"/>
      <c r="C86" s="2"/>
      <c r="D86" s="2"/>
      <c r="E86" s="2"/>
      <c r="F86" s="2"/>
      <c r="G86" s="2"/>
      <c r="H86" s="2"/>
      <c r="I86" s="2"/>
      <c r="J86" s="2"/>
    </row>
    <row r="87" spans="2:10" ht="14.25" customHeight="1" x14ac:dyDescent="0.3">
      <c r="B87" s="2"/>
      <c r="C87" s="2"/>
      <c r="D87" s="2"/>
      <c r="E87" s="2"/>
      <c r="F87" s="2"/>
      <c r="G87" s="2"/>
      <c r="H87" s="2"/>
      <c r="I87" s="2"/>
      <c r="J87" s="2"/>
    </row>
    <row r="88" spans="2:10" ht="14.25" customHeight="1" x14ac:dyDescent="0.3">
      <c r="B88" s="2"/>
      <c r="C88" s="2"/>
      <c r="D88" s="2"/>
      <c r="E88" s="2"/>
      <c r="F88" s="2"/>
      <c r="G88" s="2"/>
      <c r="H88" s="2"/>
      <c r="I88" s="2"/>
      <c r="J88" s="2"/>
    </row>
    <row r="89" spans="2:10" ht="14.25" customHeight="1" x14ac:dyDescent="0.3">
      <c r="B89" s="2"/>
      <c r="C89" s="2"/>
      <c r="D89" s="2"/>
      <c r="E89" s="2"/>
      <c r="F89" s="2"/>
      <c r="G89" s="2"/>
      <c r="H89" s="2"/>
      <c r="I89" s="2"/>
      <c r="J89" s="2"/>
    </row>
    <row r="90" spans="2:10" ht="14.25" customHeight="1" x14ac:dyDescent="0.3">
      <c r="B90" s="2"/>
      <c r="C90" s="2"/>
      <c r="D90" s="2"/>
      <c r="E90" s="2"/>
      <c r="F90" s="2"/>
      <c r="G90" s="2"/>
      <c r="H90" s="2"/>
      <c r="I90" s="2"/>
      <c r="J90" s="2"/>
    </row>
    <row r="91" spans="2:10" ht="14.25" customHeight="1" x14ac:dyDescent="0.3">
      <c r="B91" s="2"/>
      <c r="C91" s="2"/>
      <c r="D91" s="2"/>
      <c r="E91" s="2"/>
      <c r="F91" s="2"/>
      <c r="G91" s="2"/>
      <c r="H91" s="2"/>
      <c r="I91" s="2"/>
      <c r="J91" s="2"/>
    </row>
    <row r="92" spans="2:10" ht="14.25" customHeight="1" x14ac:dyDescent="0.3">
      <c r="B92" s="2"/>
      <c r="C92" s="2"/>
      <c r="D92" s="2"/>
      <c r="E92" s="2"/>
      <c r="F92" s="2"/>
      <c r="G92" s="2"/>
      <c r="H92" s="2"/>
      <c r="I92" s="2"/>
      <c r="J92" s="2"/>
    </row>
    <row r="93" spans="2:10" ht="14.25" customHeight="1" x14ac:dyDescent="0.3">
      <c r="B93" s="2"/>
      <c r="C93" s="2"/>
      <c r="D93" s="2"/>
      <c r="E93" s="2"/>
      <c r="F93" s="2"/>
      <c r="G93" s="2"/>
      <c r="H93" s="2"/>
      <c r="I93" s="2"/>
      <c r="J93" s="2"/>
    </row>
    <row r="94" spans="2:10" ht="14.25" customHeight="1" x14ac:dyDescent="0.3">
      <c r="B94" s="2"/>
      <c r="C94" s="2"/>
      <c r="D94" s="2"/>
      <c r="E94" s="2"/>
      <c r="F94" s="2"/>
      <c r="G94" s="2"/>
      <c r="H94" s="2"/>
      <c r="I94" s="2"/>
      <c r="J94" s="2"/>
    </row>
    <row r="95" spans="2:10" ht="14.25" customHeight="1" x14ac:dyDescent="0.3">
      <c r="B95" s="2"/>
      <c r="C95" s="2"/>
      <c r="D95" s="2"/>
      <c r="E95" s="2"/>
      <c r="F95" s="2"/>
      <c r="G95" s="2"/>
      <c r="H95" s="2"/>
      <c r="I95" s="2"/>
      <c r="J95" s="2"/>
    </row>
    <row r="96" spans="2:10" ht="14.25" customHeight="1" x14ac:dyDescent="0.3">
      <c r="B96" s="2"/>
      <c r="C96" s="2"/>
      <c r="D96" s="2"/>
      <c r="E96" s="2"/>
      <c r="F96" s="2"/>
      <c r="G96" s="2"/>
      <c r="H96" s="2"/>
      <c r="I96" s="2"/>
      <c r="J96" s="2"/>
    </row>
    <row r="97" spans="2:10" ht="14.25" customHeight="1" x14ac:dyDescent="0.3">
      <c r="B97" s="2"/>
      <c r="C97" s="2"/>
      <c r="D97" s="2"/>
      <c r="E97" s="2"/>
      <c r="F97" s="2"/>
      <c r="G97" s="2"/>
      <c r="H97" s="2"/>
      <c r="I97" s="2"/>
      <c r="J97" s="2"/>
    </row>
    <row r="98" spans="2:10" ht="14.25" customHeight="1" x14ac:dyDescent="0.3">
      <c r="B98" s="2"/>
      <c r="C98" s="2"/>
      <c r="D98" s="2"/>
      <c r="E98" s="2"/>
      <c r="F98" s="2"/>
      <c r="G98" s="2"/>
      <c r="H98" s="2"/>
      <c r="I98" s="2"/>
      <c r="J98" s="2"/>
    </row>
    <row r="99" spans="2:10" ht="14.25" customHeight="1" x14ac:dyDescent="0.3">
      <c r="B99" s="2"/>
      <c r="C99" s="2"/>
      <c r="D99" s="2"/>
      <c r="E99" s="2"/>
      <c r="F99" s="2"/>
      <c r="G99" s="2"/>
      <c r="H99" s="2"/>
      <c r="I99" s="2"/>
      <c r="J99" s="2"/>
    </row>
    <row r="100" spans="2:10" ht="14.25" customHeight="1" x14ac:dyDescent="0.3">
      <c r="B100" s="2"/>
      <c r="C100" s="2"/>
      <c r="D100" s="2"/>
      <c r="E100" s="2"/>
      <c r="F100" s="2"/>
      <c r="G100" s="2"/>
      <c r="H100" s="2"/>
      <c r="I100" s="2"/>
      <c r="J100" s="2"/>
    </row>
    <row r="101" spans="2:10" ht="14.25" customHeight="1" x14ac:dyDescent="0.3">
      <c r="B101" s="2"/>
      <c r="C101" s="2"/>
      <c r="D101" s="2"/>
      <c r="E101" s="2"/>
      <c r="F101" s="2"/>
      <c r="G101" s="2"/>
      <c r="H101" s="2"/>
      <c r="I101" s="2"/>
      <c r="J101" s="2"/>
    </row>
    <row r="102" spans="2:10" ht="14.25" customHeight="1" x14ac:dyDescent="0.3">
      <c r="B102" s="2"/>
      <c r="C102" s="2"/>
      <c r="D102" s="2"/>
      <c r="E102" s="2"/>
      <c r="F102" s="2"/>
      <c r="G102" s="2"/>
      <c r="H102" s="2"/>
      <c r="I102" s="2"/>
      <c r="J102" s="2"/>
    </row>
    <row r="103" spans="2:10" ht="14.25" customHeight="1" x14ac:dyDescent="0.3">
      <c r="B103" s="2"/>
      <c r="C103" s="2"/>
      <c r="D103" s="2"/>
      <c r="E103" s="2"/>
      <c r="F103" s="2"/>
      <c r="G103" s="2"/>
      <c r="H103" s="2"/>
      <c r="I103" s="2"/>
      <c r="J103" s="2"/>
    </row>
    <row r="104" spans="2:10" ht="14.25" customHeight="1" x14ac:dyDescent="0.3">
      <c r="B104" s="2"/>
      <c r="C104" s="2"/>
      <c r="D104" s="2"/>
      <c r="E104" s="2"/>
      <c r="F104" s="2"/>
      <c r="G104" s="2"/>
      <c r="H104" s="2"/>
      <c r="I104" s="2"/>
      <c r="J104" s="2"/>
    </row>
    <row r="105" spans="2:10" ht="14.25" customHeight="1" x14ac:dyDescent="0.3">
      <c r="B105" s="2"/>
      <c r="C105" s="2"/>
      <c r="D105" s="2"/>
      <c r="E105" s="2"/>
      <c r="F105" s="2"/>
      <c r="G105" s="2"/>
      <c r="H105" s="2"/>
      <c r="I105" s="2"/>
      <c r="J105" s="2"/>
    </row>
    <row r="106" spans="2:10" ht="14.25" customHeight="1" x14ac:dyDescent="0.3">
      <c r="B106" s="2"/>
      <c r="C106" s="2"/>
      <c r="D106" s="2"/>
      <c r="E106" s="2"/>
      <c r="F106" s="2"/>
      <c r="G106" s="2"/>
      <c r="H106" s="2"/>
      <c r="I106" s="2"/>
      <c r="J106" s="2"/>
    </row>
    <row r="107" spans="2:10" ht="14.25" customHeight="1" x14ac:dyDescent="0.3">
      <c r="B107" s="2"/>
      <c r="C107" s="2"/>
      <c r="D107" s="2"/>
      <c r="E107" s="2"/>
      <c r="F107" s="2"/>
      <c r="G107" s="2"/>
      <c r="H107" s="2"/>
      <c r="I107" s="2"/>
      <c r="J107" s="2"/>
    </row>
    <row r="108" spans="2:10" ht="14.25" customHeight="1" x14ac:dyDescent="0.3">
      <c r="B108" s="2"/>
      <c r="C108" s="2"/>
      <c r="D108" s="2"/>
      <c r="E108" s="2"/>
      <c r="F108" s="2"/>
      <c r="G108" s="2"/>
      <c r="H108" s="2"/>
      <c r="I108" s="2"/>
      <c r="J108" s="2"/>
    </row>
    <row r="109" spans="2:10" ht="14.25" customHeight="1" x14ac:dyDescent="0.3">
      <c r="B109" s="2"/>
      <c r="C109" s="2"/>
      <c r="D109" s="2"/>
      <c r="E109" s="2"/>
      <c r="F109" s="2"/>
      <c r="G109" s="2"/>
      <c r="H109" s="2"/>
      <c r="I109" s="2"/>
      <c r="J109" s="2"/>
    </row>
    <row r="110" spans="2:10" ht="14.25" customHeight="1" x14ac:dyDescent="0.3">
      <c r="B110" s="2"/>
      <c r="C110" s="2"/>
      <c r="D110" s="2"/>
      <c r="E110" s="2"/>
      <c r="F110" s="2"/>
      <c r="G110" s="2"/>
      <c r="H110" s="2"/>
      <c r="I110" s="2"/>
      <c r="J110" s="2"/>
    </row>
    <row r="111" spans="2:10" ht="14.25" customHeight="1" x14ac:dyDescent="0.3">
      <c r="B111" s="2"/>
      <c r="C111" s="2"/>
      <c r="D111" s="2"/>
      <c r="E111" s="2"/>
      <c r="F111" s="2"/>
      <c r="G111" s="2"/>
      <c r="H111" s="2"/>
      <c r="I111" s="2"/>
      <c r="J111" s="2"/>
    </row>
    <row r="112" spans="2:10" ht="14.25" customHeight="1" x14ac:dyDescent="0.3">
      <c r="B112" s="2"/>
      <c r="C112" s="2"/>
      <c r="D112" s="2"/>
      <c r="E112" s="2"/>
      <c r="F112" s="2"/>
      <c r="G112" s="2"/>
      <c r="H112" s="2"/>
      <c r="I112" s="2"/>
      <c r="J112" s="2"/>
    </row>
    <row r="113" spans="2:10" ht="14.25" customHeight="1" x14ac:dyDescent="0.3">
      <c r="B113" s="2"/>
      <c r="C113" s="2"/>
      <c r="D113" s="2"/>
      <c r="E113" s="2"/>
      <c r="F113" s="2"/>
      <c r="G113" s="2"/>
      <c r="H113" s="2"/>
      <c r="I113" s="2"/>
      <c r="J113" s="2"/>
    </row>
    <row r="114" spans="2:10" ht="14.25" customHeight="1" x14ac:dyDescent="0.3">
      <c r="B114" s="2"/>
      <c r="C114" s="2"/>
      <c r="D114" s="2"/>
      <c r="E114" s="2"/>
      <c r="F114" s="2"/>
      <c r="G114" s="2"/>
      <c r="H114" s="2"/>
      <c r="I114" s="2"/>
      <c r="J114" s="2"/>
    </row>
    <row r="115" spans="2:10" ht="14.25" customHeight="1" x14ac:dyDescent="0.3">
      <c r="B115" s="2"/>
      <c r="C115" s="2"/>
      <c r="D115" s="2"/>
      <c r="E115" s="2"/>
      <c r="F115" s="2"/>
      <c r="G115" s="2"/>
      <c r="H115" s="2"/>
      <c r="I115" s="2"/>
      <c r="J115" s="2"/>
    </row>
    <row r="116" spans="2:10" ht="14.25" customHeight="1" x14ac:dyDescent="0.3">
      <c r="B116" s="2"/>
      <c r="C116" s="2"/>
      <c r="D116" s="2"/>
      <c r="E116" s="2"/>
      <c r="F116" s="2"/>
      <c r="G116" s="2"/>
      <c r="H116" s="2"/>
      <c r="I116" s="2"/>
      <c r="J116" s="2"/>
    </row>
    <row r="117" spans="2:10" ht="14.25" customHeight="1" x14ac:dyDescent="0.3">
      <c r="B117" s="2"/>
      <c r="C117" s="2"/>
      <c r="D117" s="2"/>
      <c r="E117" s="2"/>
      <c r="F117" s="2"/>
      <c r="G117" s="2"/>
      <c r="H117" s="2"/>
      <c r="I117" s="2"/>
      <c r="J117" s="2"/>
    </row>
    <row r="118" spans="2:10" ht="14.25" customHeight="1" x14ac:dyDescent="0.3">
      <c r="B118" s="2"/>
      <c r="C118" s="2"/>
      <c r="D118" s="2"/>
      <c r="E118" s="2"/>
      <c r="F118" s="2"/>
      <c r="G118" s="2"/>
      <c r="H118" s="2"/>
      <c r="I118" s="2"/>
      <c r="J118" s="2"/>
    </row>
    <row r="119" spans="2:10" ht="14.25" customHeight="1" x14ac:dyDescent="0.3">
      <c r="B119" s="2"/>
      <c r="C119" s="2"/>
      <c r="D119" s="2"/>
      <c r="E119" s="2"/>
      <c r="F119" s="2"/>
      <c r="G119" s="2"/>
      <c r="H119" s="2"/>
      <c r="I119" s="2"/>
      <c r="J119" s="2"/>
    </row>
    <row r="120" spans="2:10" ht="14.25" customHeight="1" x14ac:dyDescent="0.3">
      <c r="B120" s="2"/>
      <c r="C120" s="2"/>
      <c r="D120" s="2"/>
      <c r="E120" s="2"/>
      <c r="F120" s="2"/>
      <c r="G120" s="2"/>
      <c r="H120" s="2"/>
      <c r="I120" s="2"/>
      <c r="J120" s="2"/>
    </row>
    <row r="121" spans="2:10" ht="14.25" customHeight="1" x14ac:dyDescent="0.3">
      <c r="B121" s="2"/>
      <c r="C121" s="2"/>
      <c r="D121" s="2"/>
      <c r="E121" s="2"/>
      <c r="F121" s="2"/>
      <c r="G121" s="2"/>
      <c r="H121" s="2"/>
      <c r="I121" s="2"/>
      <c r="J121" s="2"/>
    </row>
    <row r="122" spans="2:10" ht="14.25" customHeight="1" x14ac:dyDescent="0.3">
      <c r="B122" s="2"/>
      <c r="C122" s="2"/>
      <c r="D122" s="2"/>
      <c r="E122" s="2"/>
      <c r="F122" s="2"/>
      <c r="G122" s="2"/>
      <c r="H122" s="2"/>
      <c r="I122" s="2"/>
      <c r="J122" s="2"/>
    </row>
    <row r="123" spans="2:10" ht="14.25" customHeight="1" x14ac:dyDescent="0.3">
      <c r="B123" s="2"/>
      <c r="C123" s="2"/>
      <c r="D123" s="2"/>
      <c r="E123" s="2"/>
      <c r="F123" s="2"/>
      <c r="G123" s="2"/>
      <c r="H123" s="2"/>
      <c r="I123" s="2"/>
      <c r="J123" s="2"/>
    </row>
    <row r="124" spans="2:10" ht="14.25" customHeight="1" x14ac:dyDescent="0.3">
      <c r="B124" s="2"/>
      <c r="C124" s="2"/>
      <c r="D124" s="2"/>
      <c r="E124" s="2"/>
      <c r="F124" s="2"/>
      <c r="G124" s="2"/>
      <c r="H124" s="2"/>
      <c r="I124" s="2"/>
      <c r="J124" s="2"/>
    </row>
    <row r="125" spans="2:10" ht="14.25" customHeight="1" x14ac:dyDescent="0.3">
      <c r="B125" s="2"/>
      <c r="C125" s="2"/>
      <c r="D125" s="2"/>
      <c r="E125" s="2"/>
      <c r="F125" s="2"/>
      <c r="G125" s="2"/>
      <c r="H125" s="2"/>
      <c r="I125" s="2"/>
      <c r="J125" s="2"/>
    </row>
    <row r="126" spans="2:10" ht="14.25" customHeight="1" x14ac:dyDescent="0.3">
      <c r="B126" s="2"/>
      <c r="C126" s="2"/>
      <c r="D126" s="2"/>
      <c r="E126" s="2"/>
      <c r="F126" s="2"/>
      <c r="G126" s="2"/>
      <c r="H126" s="2"/>
      <c r="I126" s="2"/>
      <c r="J126" s="2"/>
    </row>
    <row r="127" spans="2:10" ht="14.25" customHeight="1" x14ac:dyDescent="0.3">
      <c r="B127" s="2"/>
      <c r="C127" s="2"/>
      <c r="D127" s="2"/>
      <c r="E127" s="2"/>
      <c r="F127" s="2"/>
      <c r="G127" s="2"/>
      <c r="H127" s="2"/>
      <c r="I127" s="2"/>
      <c r="J127" s="2"/>
    </row>
    <row r="128" spans="2:10" ht="14.25" customHeight="1" x14ac:dyDescent="0.3">
      <c r="B128" s="2"/>
      <c r="C128" s="2"/>
      <c r="D128" s="2"/>
      <c r="E128" s="2"/>
      <c r="F128" s="2"/>
      <c r="G128" s="2"/>
      <c r="H128" s="2"/>
      <c r="I128" s="2"/>
      <c r="J128" s="2"/>
    </row>
    <row r="129" spans="2:10" ht="14.25" customHeight="1" x14ac:dyDescent="0.3">
      <c r="B129" s="2"/>
      <c r="C129" s="2"/>
      <c r="D129" s="2"/>
      <c r="E129" s="2"/>
      <c r="F129" s="2"/>
      <c r="G129" s="2"/>
      <c r="H129" s="2"/>
      <c r="I129" s="2"/>
      <c r="J129" s="2"/>
    </row>
    <row r="130" spans="2:10" ht="14.25" customHeight="1" x14ac:dyDescent="0.3">
      <c r="B130" s="2"/>
      <c r="C130" s="2"/>
      <c r="D130" s="2"/>
      <c r="E130" s="2"/>
      <c r="F130" s="2"/>
      <c r="G130" s="2"/>
      <c r="H130" s="2"/>
      <c r="I130" s="2"/>
      <c r="J130" s="2"/>
    </row>
    <row r="131" spans="2:10" ht="14.25" customHeight="1" x14ac:dyDescent="0.3">
      <c r="B131" s="2"/>
      <c r="C131" s="2"/>
      <c r="D131" s="2"/>
      <c r="E131" s="2"/>
      <c r="F131" s="2"/>
      <c r="G131" s="2"/>
      <c r="H131" s="2"/>
      <c r="I131" s="2"/>
      <c r="J131" s="2"/>
    </row>
    <row r="132" spans="2:10" ht="14.25" customHeight="1" x14ac:dyDescent="0.3">
      <c r="B132" s="2"/>
      <c r="C132" s="2"/>
      <c r="D132" s="2"/>
      <c r="E132" s="2"/>
      <c r="F132" s="2"/>
      <c r="G132" s="2"/>
      <c r="H132" s="2"/>
      <c r="I132" s="2"/>
      <c r="J132" s="2"/>
    </row>
    <row r="133" spans="2:10" ht="14.25" customHeight="1" x14ac:dyDescent="0.3">
      <c r="B133" s="2"/>
      <c r="C133" s="2"/>
      <c r="D133" s="2"/>
      <c r="E133" s="2"/>
      <c r="F133" s="2"/>
      <c r="G133" s="2"/>
      <c r="H133" s="2"/>
      <c r="I133" s="2"/>
      <c r="J133" s="2"/>
    </row>
    <row r="134" spans="2:10" ht="14.25" customHeight="1" x14ac:dyDescent="0.3">
      <c r="B134" s="2"/>
      <c r="C134" s="2"/>
      <c r="D134" s="2"/>
      <c r="E134" s="2"/>
      <c r="F134" s="2"/>
      <c r="G134" s="2"/>
      <c r="H134" s="2"/>
      <c r="I134" s="2"/>
      <c r="J134" s="2"/>
    </row>
    <row r="135" spans="2:10" ht="14.25" customHeight="1" x14ac:dyDescent="0.3">
      <c r="B135" s="2"/>
      <c r="C135" s="2"/>
      <c r="D135" s="2"/>
      <c r="E135" s="2"/>
      <c r="F135" s="2"/>
      <c r="G135" s="2"/>
      <c r="H135" s="2"/>
      <c r="I135" s="2"/>
      <c r="J135" s="2"/>
    </row>
    <row r="136" spans="2:10" ht="14.25" customHeight="1" x14ac:dyDescent="0.3">
      <c r="B136" s="2"/>
      <c r="C136" s="2"/>
      <c r="D136" s="2"/>
      <c r="E136" s="2"/>
      <c r="F136" s="2"/>
      <c r="G136" s="2"/>
      <c r="H136" s="2"/>
      <c r="I136" s="2"/>
      <c r="J136" s="2"/>
    </row>
    <row r="137" spans="2:10" ht="14.25" customHeight="1" x14ac:dyDescent="0.3">
      <c r="B137" s="2"/>
      <c r="C137" s="2"/>
      <c r="D137" s="2"/>
      <c r="E137" s="2"/>
      <c r="F137" s="2"/>
      <c r="G137" s="2"/>
      <c r="H137" s="2"/>
      <c r="I137" s="2"/>
      <c r="J137" s="2"/>
    </row>
    <row r="138" spans="2:10" ht="14.25" customHeight="1" x14ac:dyDescent="0.3">
      <c r="B138" s="2"/>
      <c r="C138" s="2"/>
      <c r="D138" s="2"/>
      <c r="E138" s="2"/>
      <c r="F138" s="2"/>
      <c r="G138" s="2"/>
      <c r="H138" s="2"/>
      <c r="I138" s="2"/>
      <c r="J138" s="2"/>
    </row>
    <row r="139" spans="2:10" ht="14.25" customHeight="1" x14ac:dyDescent="0.3">
      <c r="B139" s="2"/>
      <c r="C139" s="2"/>
      <c r="D139" s="2"/>
      <c r="E139" s="2"/>
      <c r="F139" s="2"/>
      <c r="G139" s="2"/>
      <c r="H139" s="2"/>
      <c r="I139" s="2"/>
      <c r="J139" s="2"/>
    </row>
    <row r="140" spans="2:10" ht="14.25" customHeight="1" x14ac:dyDescent="0.3">
      <c r="B140" s="2"/>
      <c r="C140" s="2"/>
      <c r="D140" s="2"/>
      <c r="E140" s="2"/>
      <c r="F140" s="2"/>
      <c r="G140" s="2"/>
      <c r="H140" s="2"/>
      <c r="I140" s="2"/>
      <c r="J140" s="2"/>
    </row>
    <row r="141" spans="2:10" ht="14.25" customHeight="1" x14ac:dyDescent="0.3">
      <c r="B141" s="2"/>
      <c r="C141" s="2"/>
      <c r="D141" s="2"/>
      <c r="E141" s="2"/>
      <c r="F141" s="2"/>
      <c r="G141" s="2"/>
      <c r="H141" s="2"/>
      <c r="I141" s="2"/>
      <c r="J141" s="2"/>
    </row>
    <row r="142" spans="2:10" ht="14.25" customHeight="1" x14ac:dyDescent="0.3">
      <c r="B142" s="2"/>
      <c r="C142" s="2"/>
      <c r="D142" s="2"/>
      <c r="E142" s="2"/>
      <c r="F142" s="2"/>
      <c r="G142" s="2"/>
      <c r="H142" s="2"/>
      <c r="I142" s="2"/>
      <c r="J142" s="2"/>
    </row>
    <row r="143" spans="2:10" ht="14.25" customHeight="1" x14ac:dyDescent="0.3">
      <c r="B143" s="2"/>
      <c r="C143" s="2"/>
      <c r="D143" s="2"/>
      <c r="E143" s="2"/>
      <c r="F143" s="2"/>
      <c r="G143" s="2"/>
      <c r="H143" s="2"/>
      <c r="I143" s="2"/>
      <c r="J143" s="2"/>
    </row>
    <row r="144" spans="2:10" ht="14.25" customHeight="1" x14ac:dyDescent="0.3">
      <c r="B144" s="2"/>
      <c r="C144" s="2"/>
      <c r="D144" s="2"/>
      <c r="E144" s="2"/>
      <c r="F144" s="2"/>
      <c r="G144" s="2"/>
      <c r="H144" s="2"/>
      <c r="I144" s="2"/>
      <c r="J144" s="2"/>
    </row>
    <row r="145" spans="2:10" ht="14.25" customHeight="1" x14ac:dyDescent="0.3">
      <c r="B145" s="2"/>
      <c r="C145" s="2"/>
      <c r="D145" s="2"/>
      <c r="E145" s="2"/>
      <c r="F145" s="2"/>
      <c r="G145" s="2"/>
      <c r="H145" s="2"/>
      <c r="I145" s="2"/>
      <c r="J145" s="2"/>
    </row>
    <row r="146" spans="2:10" ht="14.25" customHeight="1" x14ac:dyDescent="0.3">
      <c r="B146" s="2"/>
      <c r="C146" s="2"/>
      <c r="D146" s="2"/>
      <c r="E146" s="2"/>
      <c r="F146" s="2"/>
      <c r="G146" s="2"/>
      <c r="H146" s="2"/>
      <c r="I146" s="2"/>
      <c r="J146" s="2"/>
    </row>
    <row r="147" spans="2:10" ht="14.25" customHeight="1" x14ac:dyDescent="0.3">
      <c r="B147" s="2"/>
      <c r="C147" s="2"/>
      <c r="D147" s="2"/>
      <c r="E147" s="2"/>
      <c r="F147" s="2"/>
      <c r="G147" s="2"/>
      <c r="H147" s="2"/>
      <c r="I147" s="2"/>
      <c r="J147" s="2"/>
    </row>
    <row r="148" spans="2:10" ht="14.25" customHeight="1" x14ac:dyDescent="0.3">
      <c r="B148" s="2"/>
      <c r="C148" s="2"/>
      <c r="D148" s="2"/>
      <c r="E148" s="2"/>
      <c r="F148" s="2"/>
      <c r="G148" s="2"/>
      <c r="H148" s="2"/>
      <c r="I148" s="2"/>
      <c r="J148" s="2"/>
    </row>
    <row r="149" spans="2:10" ht="14.25" customHeight="1" x14ac:dyDescent="0.3">
      <c r="B149" s="2"/>
      <c r="C149" s="2"/>
      <c r="D149" s="2"/>
      <c r="E149" s="2"/>
      <c r="F149" s="2"/>
      <c r="G149" s="2"/>
      <c r="H149" s="2"/>
      <c r="I149" s="2"/>
      <c r="J149" s="2"/>
    </row>
    <row r="150" spans="2:10" ht="14.25" customHeight="1" x14ac:dyDescent="0.3">
      <c r="B150" s="2"/>
      <c r="C150" s="2"/>
      <c r="D150" s="2"/>
      <c r="E150" s="2"/>
      <c r="F150" s="2"/>
      <c r="G150" s="2"/>
      <c r="H150" s="2"/>
      <c r="I150" s="2"/>
      <c r="J150" s="2"/>
    </row>
    <row r="151" spans="2:10" ht="14.25" customHeight="1" x14ac:dyDescent="0.3">
      <c r="B151" s="2"/>
      <c r="C151" s="2"/>
      <c r="D151" s="2"/>
      <c r="E151" s="2"/>
      <c r="F151" s="2"/>
      <c r="G151" s="2"/>
      <c r="H151" s="2"/>
      <c r="I151" s="2"/>
      <c r="J151" s="2"/>
    </row>
    <row r="152" spans="2:10" ht="14.25" customHeight="1" x14ac:dyDescent="0.3">
      <c r="B152" s="2"/>
      <c r="C152" s="2"/>
      <c r="D152" s="2"/>
      <c r="E152" s="2"/>
      <c r="F152" s="2"/>
      <c r="G152" s="2"/>
      <c r="H152" s="2"/>
      <c r="I152" s="2"/>
      <c r="J152" s="2"/>
    </row>
    <row r="153" spans="2:10" ht="14.25" customHeight="1" x14ac:dyDescent="0.3">
      <c r="B153" s="2"/>
      <c r="C153" s="2"/>
      <c r="D153" s="2"/>
      <c r="E153" s="2"/>
      <c r="F153" s="2"/>
      <c r="G153" s="2"/>
      <c r="H153" s="2"/>
      <c r="I153" s="2"/>
      <c r="J153" s="2"/>
    </row>
    <row r="154" spans="2:10" ht="14.25" customHeight="1" x14ac:dyDescent="0.3">
      <c r="B154" s="2"/>
      <c r="C154" s="2"/>
      <c r="D154" s="2"/>
      <c r="E154" s="2"/>
      <c r="F154" s="2"/>
      <c r="G154" s="2"/>
      <c r="H154" s="2"/>
      <c r="I154" s="2"/>
      <c r="J154" s="2"/>
    </row>
    <row r="155" spans="2:10" ht="14.25" customHeight="1" x14ac:dyDescent="0.3">
      <c r="B155" s="2"/>
      <c r="C155" s="2"/>
      <c r="D155" s="2"/>
      <c r="E155" s="2"/>
      <c r="F155" s="2"/>
      <c r="G155" s="2"/>
      <c r="H155" s="2"/>
      <c r="I155" s="2"/>
      <c r="J155" s="2"/>
    </row>
    <row r="156" spans="2:10" ht="14.25" customHeight="1" x14ac:dyDescent="0.3">
      <c r="B156" s="2"/>
      <c r="C156" s="2"/>
      <c r="D156" s="2"/>
      <c r="E156" s="2"/>
      <c r="F156" s="2"/>
      <c r="G156" s="2"/>
      <c r="H156" s="2"/>
      <c r="I156" s="2"/>
      <c r="J156" s="2"/>
    </row>
    <row r="157" spans="2:10" ht="14.25" customHeight="1" x14ac:dyDescent="0.3">
      <c r="B157" s="2"/>
      <c r="C157" s="2"/>
      <c r="D157" s="2"/>
      <c r="E157" s="2"/>
      <c r="F157" s="2"/>
      <c r="G157" s="2"/>
      <c r="H157" s="2"/>
      <c r="I157" s="2"/>
      <c r="J157" s="2"/>
    </row>
    <row r="158" spans="2:10" ht="14.25" customHeight="1" x14ac:dyDescent="0.3">
      <c r="B158" s="2"/>
      <c r="C158" s="2"/>
      <c r="D158" s="2"/>
      <c r="E158" s="2"/>
      <c r="F158" s="2"/>
      <c r="G158" s="2"/>
      <c r="H158" s="2"/>
      <c r="I158" s="2"/>
      <c r="J158" s="2"/>
    </row>
    <row r="159" spans="2:10" ht="14.25" customHeight="1" x14ac:dyDescent="0.3">
      <c r="B159" s="2"/>
      <c r="C159" s="2"/>
      <c r="D159" s="2"/>
      <c r="E159" s="2"/>
      <c r="F159" s="2"/>
      <c r="G159" s="2"/>
      <c r="H159" s="2"/>
      <c r="I159" s="2"/>
      <c r="J159" s="2"/>
    </row>
    <row r="160" spans="2:10" ht="14.25" customHeight="1" x14ac:dyDescent="0.3">
      <c r="B160" s="2"/>
      <c r="C160" s="2"/>
      <c r="D160" s="2"/>
      <c r="E160" s="2"/>
      <c r="F160" s="2"/>
      <c r="G160" s="2"/>
      <c r="H160" s="2"/>
      <c r="I160" s="2"/>
      <c r="J160" s="2"/>
    </row>
    <row r="161" spans="2:10" ht="14.25" customHeight="1" x14ac:dyDescent="0.3">
      <c r="B161" s="2"/>
      <c r="C161" s="2"/>
      <c r="D161" s="2"/>
      <c r="E161" s="2"/>
      <c r="F161" s="2"/>
      <c r="G161" s="2"/>
      <c r="H161" s="2"/>
      <c r="I161" s="2"/>
      <c r="J161" s="2"/>
    </row>
    <row r="162" spans="2:10" ht="14.25" customHeight="1" x14ac:dyDescent="0.3">
      <c r="B162" s="2"/>
      <c r="C162" s="2"/>
      <c r="D162" s="2"/>
      <c r="E162" s="2"/>
      <c r="F162" s="2"/>
      <c r="G162" s="2"/>
      <c r="H162" s="2"/>
      <c r="I162" s="2"/>
      <c r="J162" s="2"/>
    </row>
    <row r="163" spans="2:10" ht="14.25" customHeight="1" x14ac:dyDescent="0.3">
      <c r="B163" s="2"/>
      <c r="C163" s="2"/>
      <c r="D163" s="2"/>
      <c r="E163" s="2"/>
      <c r="F163" s="2"/>
      <c r="G163" s="2"/>
      <c r="H163" s="2"/>
      <c r="I163" s="2"/>
      <c r="J163" s="2"/>
    </row>
    <row r="164" spans="2:10" ht="14.25" customHeight="1" x14ac:dyDescent="0.3">
      <c r="B164" s="2"/>
      <c r="C164" s="2"/>
      <c r="D164" s="2"/>
      <c r="E164" s="2"/>
      <c r="F164" s="2"/>
      <c r="G164" s="2"/>
      <c r="H164" s="2"/>
      <c r="I164" s="2"/>
      <c r="J164" s="2"/>
    </row>
    <row r="165" spans="2:10" ht="14.25" customHeight="1" x14ac:dyDescent="0.3">
      <c r="B165" s="2"/>
      <c r="C165" s="2"/>
      <c r="D165" s="2"/>
      <c r="E165" s="2"/>
      <c r="F165" s="2"/>
      <c r="G165" s="2"/>
      <c r="H165" s="2"/>
      <c r="I165" s="2"/>
      <c r="J165" s="2"/>
    </row>
    <row r="166" spans="2:10" ht="14.25" customHeight="1" x14ac:dyDescent="0.3">
      <c r="B166" s="2"/>
      <c r="C166" s="2"/>
      <c r="D166" s="2"/>
      <c r="E166" s="2"/>
      <c r="F166" s="2"/>
      <c r="G166" s="2"/>
      <c r="H166" s="2"/>
      <c r="I166" s="2"/>
      <c r="J166" s="2"/>
    </row>
    <row r="167" spans="2:10" ht="14.25" customHeight="1" x14ac:dyDescent="0.3">
      <c r="B167" s="2"/>
      <c r="C167" s="2"/>
      <c r="D167" s="2"/>
      <c r="E167" s="2"/>
      <c r="F167" s="2"/>
      <c r="G167" s="2"/>
      <c r="H167" s="2"/>
      <c r="I167" s="2"/>
      <c r="J167" s="2"/>
    </row>
    <row r="168" spans="2:10" ht="14.25" customHeight="1" x14ac:dyDescent="0.3">
      <c r="B168" s="2"/>
      <c r="C168" s="2"/>
      <c r="D168" s="2"/>
      <c r="E168" s="2"/>
      <c r="F168" s="2"/>
      <c r="G168" s="2"/>
      <c r="H168" s="2"/>
      <c r="I168" s="2"/>
      <c r="J168" s="2"/>
    </row>
    <row r="169" spans="2:10" ht="14.25" customHeight="1" x14ac:dyDescent="0.3">
      <c r="B169" s="2"/>
      <c r="C169" s="2"/>
      <c r="D169" s="2"/>
      <c r="E169" s="2"/>
      <c r="F169" s="2"/>
      <c r="G169" s="2"/>
      <c r="H169" s="2"/>
      <c r="I169" s="2"/>
      <c r="J169" s="2"/>
    </row>
    <row r="170" spans="2:10" ht="14.25" customHeight="1" x14ac:dyDescent="0.3">
      <c r="B170" s="2"/>
      <c r="C170" s="2"/>
      <c r="D170" s="2"/>
      <c r="E170" s="2"/>
      <c r="F170" s="2"/>
      <c r="G170" s="2"/>
      <c r="H170" s="2"/>
      <c r="I170" s="2"/>
      <c r="J170" s="2"/>
    </row>
    <row r="171" spans="2:10" ht="14.25" customHeight="1" x14ac:dyDescent="0.3">
      <c r="B171" s="2"/>
      <c r="C171" s="2"/>
      <c r="D171" s="2"/>
      <c r="E171" s="2"/>
      <c r="F171" s="2"/>
      <c r="G171" s="2"/>
      <c r="H171" s="2"/>
      <c r="I171" s="2"/>
      <c r="J171" s="2"/>
    </row>
    <row r="172" spans="2:10" ht="14.25" customHeight="1" x14ac:dyDescent="0.3">
      <c r="B172" s="2"/>
      <c r="C172" s="2"/>
      <c r="D172" s="2"/>
      <c r="E172" s="2"/>
      <c r="F172" s="2"/>
      <c r="G172" s="2"/>
      <c r="H172" s="2"/>
      <c r="I172" s="2"/>
      <c r="J172" s="2"/>
    </row>
    <row r="173" spans="2:10" ht="14.25" customHeight="1" x14ac:dyDescent="0.3">
      <c r="B173" s="2"/>
      <c r="C173" s="2"/>
      <c r="D173" s="2"/>
      <c r="E173" s="2"/>
      <c r="F173" s="2"/>
      <c r="G173" s="2"/>
      <c r="H173" s="2"/>
      <c r="I173" s="2"/>
      <c r="J173" s="2"/>
    </row>
    <row r="174" spans="2:10" ht="14.25" customHeight="1" x14ac:dyDescent="0.3">
      <c r="B174" s="2"/>
      <c r="C174" s="2"/>
      <c r="D174" s="2"/>
      <c r="E174" s="2"/>
      <c r="F174" s="2"/>
      <c r="G174" s="2"/>
      <c r="H174" s="2"/>
      <c r="I174" s="2"/>
      <c r="J174" s="2"/>
    </row>
    <row r="175" spans="2:10" ht="14.25" customHeight="1" x14ac:dyDescent="0.3">
      <c r="B175" s="2"/>
      <c r="C175" s="2"/>
      <c r="D175" s="2"/>
      <c r="E175" s="2"/>
      <c r="F175" s="2"/>
      <c r="G175" s="2"/>
      <c r="H175" s="2"/>
      <c r="I175" s="2"/>
      <c r="J175" s="2"/>
    </row>
    <row r="176" spans="2:10" ht="14.25" customHeight="1" x14ac:dyDescent="0.3">
      <c r="B176" s="2"/>
      <c r="C176" s="2"/>
      <c r="D176" s="2"/>
      <c r="E176" s="2"/>
      <c r="F176" s="2"/>
      <c r="G176" s="2"/>
      <c r="H176" s="2"/>
      <c r="I176" s="2"/>
      <c r="J176" s="2"/>
    </row>
    <row r="177" spans="2:10" ht="14.25" customHeight="1" x14ac:dyDescent="0.3">
      <c r="B177" s="2"/>
      <c r="C177" s="2"/>
      <c r="D177" s="2"/>
      <c r="E177" s="2"/>
      <c r="F177" s="2"/>
      <c r="G177" s="2"/>
      <c r="H177" s="2"/>
      <c r="I177" s="2"/>
      <c r="J177" s="2"/>
    </row>
    <row r="178" spans="2:10" ht="14.25" customHeight="1" x14ac:dyDescent="0.3">
      <c r="B178" s="2"/>
      <c r="C178" s="2"/>
      <c r="D178" s="2"/>
      <c r="E178" s="2"/>
      <c r="F178" s="2"/>
      <c r="G178" s="2"/>
      <c r="H178" s="2"/>
      <c r="I178" s="2"/>
      <c r="J178" s="2"/>
    </row>
    <row r="179" spans="2:10" ht="14.25" customHeight="1" x14ac:dyDescent="0.3">
      <c r="B179" s="2"/>
      <c r="C179" s="2"/>
      <c r="D179" s="2"/>
      <c r="E179" s="2"/>
      <c r="F179" s="2"/>
      <c r="G179" s="2"/>
      <c r="H179" s="2"/>
      <c r="I179" s="2"/>
      <c r="J179" s="2"/>
    </row>
    <row r="180" spans="2:10" ht="14.25" customHeight="1" x14ac:dyDescent="0.3">
      <c r="B180" s="2"/>
      <c r="C180" s="2"/>
      <c r="D180" s="2"/>
      <c r="E180" s="2"/>
      <c r="F180" s="2"/>
      <c r="G180" s="2"/>
      <c r="H180" s="2"/>
      <c r="I180" s="2"/>
      <c r="J180" s="2"/>
    </row>
    <row r="181" spans="2:10" ht="14.25" customHeight="1" x14ac:dyDescent="0.3">
      <c r="B181" s="2"/>
      <c r="C181" s="2"/>
      <c r="D181" s="2"/>
      <c r="E181" s="2"/>
      <c r="F181" s="2"/>
      <c r="G181" s="2"/>
      <c r="H181" s="2"/>
      <c r="I181" s="2"/>
      <c r="J181" s="2"/>
    </row>
    <row r="182" spans="2:10" ht="14.25" customHeight="1" x14ac:dyDescent="0.3">
      <c r="B182" s="2"/>
      <c r="C182" s="2"/>
      <c r="D182" s="2"/>
      <c r="E182" s="2"/>
      <c r="F182" s="2"/>
      <c r="G182" s="2"/>
      <c r="H182" s="2"/>
      <c r="I182" s="2"/>
      <c r="J182" s="2"/>
    </row>
    <row r="183" spans="2:10" ht="14.25" customHeight="1" x14ac:dyDescent="0.3">
      <c r="B183" s="2"/>
      <c r="C183" s="2"/>
      <c r="D183" s="2"/>
      <c r="E183" s="2"/>
      <c r="F183" s="2"/>
      <c r="G183" s="2"/>
      <c r="H183" s="2"/>
      <c r="I183" s="2"/>
      <c r="J183" s="2"/>
    </row>
    <row r="184" spans="2:10" ht="14.25" customHeight="1" x14ac:dyDescent="0.3">
      <c r="B184" s="2"/>
      <c r="C184" s="2"/>
      <c r="D184" s="2"/>
      <c r="E184" s="2"/>
      <c r="F184" s="2"/>
      <c r="G184" s="2"/>
      <c r="H184" s="2"/>
      <c r="I184" s="2"/>
      <c r="J184" s="2"/>
    </row>
    <row r="185" spans="2:10" ht="14.25" customHeight="1" x14ac:dyDescent="0.3">
      <c r="B185" s="2"/>
      <c r="C185" s="2"/>
      <c r="D185" s="2"/>
      <c r="E185" s="2"/>
      <c r="F185" s="2"/>
      <c r="G185" s="2"/>
      <c r="H185" s="2"/>
      <c r="I185" s="2"/>
      <c r="J185" s="2"/>
    </row>
    <row r="186" spans="2:10" ht="14.25" customHeight="1" x14ac:dyDescent="0.3">
      <c r="B186" s="2"/>
      <c r="C186" s="2"/>
      <c r="D186" s="2"/>
      <c r="E186" s="2"/>
      <c r="F186" s="2"/>
      <c r="G186" s="2"/>
      <c r="H186" s="2"/>
      <c r="I186" s="2"/>
      <c r="J186" s="2"/>
    </row>
    <row r="187" spans="2:10" ht="14.25" customHeight="1" x14ac:dyDescent="0.3">
      <c r="B187" s="2"/>
      <c r="C187" s="2"/>
      <c r="D187" s="2"/>
      <c r="E187" s="2"/>
      <c r="F187" s="2"/>
      <c r="G187" s="2"/>
      <c r="H187" s="2"/>
      <c r="I187" s="2"/>
      <c r="J187" s="2"/>
    </row>
    <row r="188" spans="2:10" ht="14.25" customHeight="1" x14ac:dyDescent="0.3">
      <c r="B188" s="2"/>
      <c r="C188" s="2"/>
      <c r="D188" s="2"/>
      <c r="E188" s="2"/>
      <c r="F188" s="2"/>
      <c r="G188" s="2"/>
      <c r="H188" s="2"/>
      <c r="I188" s="2"/>
      <c r="J188" s="2"/>
    </row>
    <row r="189" spans="2:10" ht="14.25" customHeight="1" x14ac:dyDescent="0.3">
      <c r="B189" s="2"/>
      <c r="C189" s="2"/>
      <c r="D189" s="2"/>
      <c r="E189" s="2"/>
      <c r="F189" s="2"/>
      <c r="G189" s="2"/>
      <c r="H189" s="2"/>
      <c r="I189" s="2"/>
      <c r="J189" s="2"/>
    </row>
    <row r="190" spans="2:10" ht="14.25" customHeight="1" x14ac:dyDescent="0.3">
      <c r="B190" s="2"/>
      <c r="C190" s="2"/>
      <c r="D190" s="2"/>
      <c r="E190" s="2"/>
      <c r="F190" s="2"/>
      <c r="G190" s="2"/>
      <c r="H190" s="2"/>
      <c r="I190" s="2"/>
      <c r="J190" s="2"/>
    </row>
    <row r="191" spans="2:10" ht="14.25" customHeight="1" x14ac:dyDescent="0.3">
      <c r="B191" s="2"/>
      <c r="C191" s="2"/>
      <c r="D191" s="2"/>
      <c r="E191" s="2"/>
      <c r="F191" s="2"/>
      <c r="G191" s="2"/>
      <c r="H191" s="2"/>
      <c r="I191" s="2"/>
      <c r="J191" s="2"/>
    </row>
    <row r="192" spans="2:10" ht="14.25" customHeight="1" x14ac:dyDescent="0.3">
      <c r="B192" s="2"/>
      <c r="C192" s="2"/>
      <c r="D192" s="2"/>
      <c r="E192" s="2"/>
      <c r="F192" s="2"/>
      <c r="G192" s="2"/>
      <c r="H192" s="2"/>
      <c r="I192" s="2"/>
      <c r="J192" s="2"/>
    </row>
    <row r="193" spans="2:10" ht="14.25" customHeight="1" x14ac:dyDescent="0.3">
      <c r="B193" s="2"/>
      <c r="C193" s="2"/>
      <c r="D193" s="2"/>
      <c r="E193" s="2"/>
      <c r="F193" s="2"/>
      <c r="G193" s="2"/>
      <c r="H193" s="2"/>
      <c r="I193" s="2"/>
      <c r="J193" s="2"/>
    </row>
    <row r="194" spans="2:10" ht="14.25" customHeight="1" x14ac:dyDescent="0.3">
      <c r="B194" s="2"/>
      <c r="C194" s="2"/>
      <c r="D194" s="2"/>
      <c r="E194" s="2"/>
      <c r="F194" s="2"/>
      <c r="G194" s="2"/>
      <c r="H194" s="2"/>
      <c r="I194" s="2"/>
      <c r="J194" s="2"/>
    </row>
    <row r="195" spans="2:10" ht="14.25" customHeight="1" x14ac:dyDescent="0.3">
      <c r="B195" s="2"/>
      <c r="C195" s="2"/>
      <c r="D195" s="2"/>
      <c r="E195" s="2"/>
      <c r="F195" s="2"/>
      <c r="G195" s="2"/>
      <c r="H195" s="2"/>
      <c r="I195" s="2"/>
      <c r="J195" s="2"/>
    </row>
    <row r="196" spans="2:10" ht="14.25" customHeight="1" x14ac:dyDescent="0.3">
      <c r="B196" s="2"/>
      <c r="C196" s="2"/>
      <c r="D196" s="2"/>
      <c r="E196" s="2"/>
      <c r="F196" s="2"/>
      <c r="G196" s="2"/>
      <c r="H196" s="2"/>
      <c r="I196" s="2"/>
      <c r="J196" s="2"/>
    </row>
    <row r="197" spans="2:10" ht="14.25" customHeight="1" x14ac:dyDescent="0.3">
      <c r="B197" s="2"/>
      <c r="C197" s="2"/>
      <c r="D197" s="2"/>
      <c r="E197" s="2"/>
      <c r="F197" s="2"/>
      <c r="G197" s="2"/>
      <c r="H197" s="2"/>
      <c r="I197" s="2"/>
      <c r="J197" s="2"/>
    </row>
    <row r="198" spans="2:10" ht="14.25" customHeight="1" x14ac:dyDescent="0.3">
      <c r="B198" s="2"/>
      <c r="C198" s="2"/>
      <c r="D198" s="2"/>
      <c r="E198" s="2"/>
      <c r="F198" s="2"/>
      <c r="G198" s="2"/>
      <c r="H198" s="2"/>
      <c r="I198" s="2"/>
      <c r="J198" s="2"/>
    </row>
    <row r="199" spans="2:10" ht="14.25" customHeight="1" x14ac:dyDescent="0.3">
      <c r="B199" s="2"/>
      <c r="C199" s="2"/>
      <c r="D199" s="2"/>
      <c r="E199" s="2"/>
      <c r="F199" s="2"/>
      <c r="G199" s="2"/>
      <c r="H199" s="2"/>
      <c r="I199" s="2"/>
      <c r="J199" s="2"/>
    </row>
    <row r="200" spans="2:10" ht="14.25" customHeight="1" x14ac:dyDescent="0.3">
      <c r="B200" s="2"/>
      <c r="C200" s="2"/>
      <c r="D200" s="2"/>
      <c r="E200" s="2"/>
      <c r="F200" s="2"/>
      <c r="G200" s="2"/>
      <c r="H200" s="2"/>
      <c r="I200" s="2"/>
      <c r="J200" s="2"/>
    </row>
    <row r="201" spans="2:10" ht="14.25" customHeight="1" x14ac:dyDescent="0.3">
      <c r="B201" s="2"/>
      <c r="C201" s="2"/>
      <c r="D201" s="2"/>
      <c r="E201" s="2"/>
      <c r="F201" s="2"/>
      <c r="G201" s="2"/>
      <c r="H201" s="2"/>
      <c r="I201" s="2"/>
      <c r="J201" s="2"/>
    </row>
    <row r="202" spans="2:10" ht="14.25" customHeight="1" x14ac:dyDescent="0.3">
      <c r="B202" s="2"/>
      <c r="C202" s="2"/>
      <c r="D202" s="2"/>
      <c r="E202" s="2"/>
      <c r="F202" s="2"/>
      <c r="G202" s="2"/>
      <c r="H202" s="2"/>
      <c r="I202" s="2"/>
      <c r="J202" s="2"/>
    </row>
    <row r="203" spans="2:10" ht="14.25" customHeight="1" x14ac:dyDescent="0.3">
      <c r="B203" s="2"/>
      <c r="C203" s="2"/>
      <c r="D203" s="2"/>
      <c r="E203" s="2"/>
      <c r="F203" s="2"/>
      <c r="G203" s="2"/>
      <c r="H203" s="2"/>
      <c r="I203" s="2"/>
      <c r="J203" s="2"/>
    </row>
    <row r="204" spans="2:10" ht="14.25" customHeight="1" x14ac:dyDescent="0.3">
      <c r="B204" s="2"/>
      <c r="C204" s="2"/>
      <c r="D204" s="2"/>
      <c r="E204" s="2"/>
      <c r="F204" s="2"/>
      <c r="G204" s="2"/>
      <c r="H204" s="2"/>
      <c r="I204" s="2"/>
      <c r="J204" s="2"/>
    </row>
    <row r="205" spans="2:10" ht="14.25" customHeight="1" x14ac:dyDescent="0.3">
      <c r="B205" s="2"/>
      <c r="C205" s="2"/>
      <c r="D205" s="2"/>
      <c r="E205" s="2"/>
      <c r="F205" s="2"/>
      <c r="G205" s="2"/>
      <c r="H205" s="2"/>
      <c r="I205" s="2"/>
      <c r="J205" s="2"/>
    </row>
    <row r="206" spans="2:10" ht="14.25" customHeight="1" x14ac:dyDescent="0.3">
      <c r="B206" s="2"/>
      <c r="C206" s="2"/>
      <c r="D206" s="2"/>
      <c r="E206" s="2"/>
      <c r="F206" s="2"/>
      <c r="G206" s="2"/>
      <c r="H206" s="2"/>
      <c r="I206" s="2"/>
      <c r="J206" s="2"/>
    </row>
    <row r="207" spans="2:10" ht="14.25" customHeight="1" x14ac:dyDescent="0.3">
      <c r="B207" s="2"/>
      <c r="C207" s="2"/>
      <c r="D207" s="2"/>
      <c r="E207" s="2"/>
      <c r="F207" s="2"/>
      <c r="G207" s="2"/>
      <c r="H207" s="2"/>
      <c r="I207" s="2"/>
      <c r="J207" s="2"/>
    </row>
    <row r="208" spans="2:10" ht="14.25" customHeight="1" x14ac:dyDescent="0.3">
      <c r="B208" s="2"/>
      <c r="C208" s="2"/>
      <c r="D208" s="2"/>
      <c r="E208" s="2"/>
      <c r="F208" s="2"/>
      <c r="G208" s="2"/>
      <c r="H208" s="2"/>
      <c r="I208" s="2"/>
      <c r="J208" s="2"/>
    </row>
    <row r="209" spans="2:10" ht="14.25" customHeight="1" x14ac:dyDescent="0.3">
      <c r="B209" s="2"/>
      <c r="C209" s="2"/>
      <c r="D209" s="2"/>
      <c r="E209" s="2"/>
      <c r="F209" s="2"/>
      <c r="G209" s="2"/>
      <c r="H209" s="2"/>
      <c r="I209" s="2"/>
      <c r="J209" s="2"/>
    </row>
    <row r="210" spans="2:10" ht="14.25" customHeight="1" x14ac:dyDescent="0.3">
      <c r="B210" s="2"/>
      <c r="C210" s="2"/>
      <c r="D210" s="2"/>
      <c r="E210" s="2"/>
      <c r="F210" s="2"/>
      <c r="G210" s="2"/>
      <c r="H210" s="2"/>
      <c r="I210" s="2"/>
      <c r="J210" s="2"/>
    </row>
    <row r="211" spans="2:10" ht="14.25" customHeight="1" x14ac:dyDescent="0.3">
      <c r="B211" s="2"/>
      <c r="C211" s="2"/>
      <c r="D211" s="2"/>
      <c r="E211" s="2"/>
      <c r="F211" s="2"/>
      <c r="G211" s="2"/>
      <c r="H211" s="2"/>
      <c r="I211" s="2"/>
      <c r="J211" s="2"/>
    </row>
    <row r="212" spans="2:10" ht="14.25" customHeight="1" x14ac:dyDescent="0.3">
      <c r="B212" s="2"/>
      <c r="C212" s="2"/>
      <c r="D212" s="2"/>
      <c r="E212" s="2"/>
      <c r="F212" s="2"/>
      <c r="G212" s="2"/>
      <c r="H212" s="2"/>
      <c r="I212" s="2"/>
      <c r="J212" s="2"/>
    </row>
    <row r="213" spans="2:10" ht="14.25" customHeight="1" x14ac:dyDescent="0.3">
      <c r="B213" s="2"/>
      <c r="C213" s="2"/>
      <c r="D213" s="2"/>
      <c r="E213" s="2"/>
      <c r="F213" s="2"/>
      <c r="G213" s="2"/>
      <c r="H213" s="2"/>
      <c r="I213" s="2"/>
      <c r="J213" s="2"/>
    </row>
    <row r="214" spans="2:10" ht="14.25" customHeight="1" x14ac:dyDescent="0.3">
      <c r="B214" s="2"/>
      <c r="C214" s="2"/>
      <c r="D214" s="2"/>
      <c r="E214" s="2"/>
      <c r="F214" s="2"/>
      <c r="G214" s="2"/>
      <c r="H214" s="2"/>
      <c r="I214" s="2"/>
      <c r="J214" s="2"/>
    </row>
    <row r="215" spans="2:10" ht="14.25" customHeight="1" x14ac:dyDescent="0.3">
      <c r="B215" s="2"/>
      <c r="C215" s="2"/>
      <c r="D215" s="2"/>
      <c r="E215" s="2"/>
      <c r="F215" s="2"/>
      <c r="G215" s="2"/>
      <c r="H215" s="2"/>
      <c r="I215" s="2"/>
      <c r="J215" s="2"/>
    </row>
    <row r="216" spans="2:10" ht="14.25" customHeight="1" x14ac:dyDescent="0.3">
      <c r="B216" s="2"/>
      <c r="C216" s="2"/>
      <c r="D216" s="2"/>
      <c r="E216" s="2"/>
      <c r="F216" s="2"/>
      <c r="G216" s="2"/>
      <c r="H216" s="2"/>
      <c r="I216" s="2"/>
      <c r="J216" s="2"/>
    </row>
    <row r="217" spans="2:10" ht="14.25" customHeight="1" x14ac:dyDescent="0.3">
      <c r="B217" s="2"/>
      <c r="C217" s="2"/>
      <c r="D217" s="2"/>
      <c r="E217" s="2"/>
      <c r="F217" s="2"/>
      <c r="G217" s="2"/>
      <c r="H217" s="2"/>
      <c r="I217" s="2"/>
      <c r="J217" s="2"/>
    </row>
    <row r="218" spans="2:10" ht="14.25" customHeight="1" x14ac:dyDescent="0.3">
      <c r="B218" s="2"/>
      <c r="C218" s="2"/>
      <c r="D218" s="2"/>
      <c r="E218" s="2"/>
      <c r="F218" s="2"/>
      <c r="G218" s="2"/>
      <c r="H218" s="2"/>
      <c r="I218" s="2"/>
      <c r="J218" s="2"/>
    </row>
    <row r="219" spans="2:10" ht="14.25" customHeight="1" x14ac:dyDescent="0.3">
      <c r="B219" s="2"/>
      <c r="C219" s="2"/>
      <c r="D219" s="2"/>
      <c r="E219" s="2"/>
      <c r="F219" s="2"/>
      <c r="G219" s="2"/>
      <c r="H219" s="2"/>
      <c r="I219" s="2"/>
      <c r="J219" s="2"/>
    </row>
    <row r="220" spans="2:10" ht="14.25" customHeight="1" x14ac:dyDescent="0.3">
      <c r="B220" s="2"/>
      <c r="C220" s="2"/>
      <c r="D220" s="2"/>
      <c r="E220" s="2"/>
      <c r="F220" s="2"/>
      <c r="G220" s="2"/>
      <c r="H220" s="2"/>
      <c r="I220" s="2"/>
      <c r="J220" s="2"/>
    </row>
    <row r="221" spans="2:10" ht="14.25" customHeight="1" x14ac:dyDescent="0.3">
      <c r="B221" s="2"/>
      <c r="C221" s="2"/>
      <c r="D221" s="2"/>
      <c r="E221" s="2"/>
      <c r="F221" s="2"/>
      <c r="G221" s="2"/>
      <c r="H221" s="2"/>
      <c r="I221" s="2"/>
      <c r="J221" s="2"/>
    </row>
    <row r="222" spans="2:10" ht="14.25" customHeight="1" x14ac:dyDescent="0.3">
      <c r="B222" s="2"/>
      <c r="C222" s="2"/>
      <c r="D222" s="2"/>
      <c r="E222" s="2"/>
      <c r="F222" s="2"/>
      <c r="G222" s="2"/>
      <c r="H222" s="2"/>
      <c r="I222" s="2"/>
      <c r="J222" s="2"/>
    </row>
    <row r="223" spans="2:10" ht="14.25" customHeight="1" x14ac:dyDescent="0.3">
      <c r="B223" s="2"/>
      <c r="C223" s="2"/>
      <c r="D223" s="2"/>
      <c r="E223" s="2"/>
      <c r="F223" s="2"/>
      <c r="G223" s="2"/>
      <c r="H223" s="2"/>
      <c r="I223" s="2"/>
      <c r="J223" s="2"/>
    </row>
    <row r="224" spans="2:10" ht="14.25" customHeight="1" x14ac:dyDescent="0.3">
      <c r="B224" s="2"/>
      <c r="C224" s="2"/>
      <c r="D224" s="2"/>
      <c r="E224" s="2"/>
      <c r="F224" s="2"/>
      <c r="G224" s="2"/>
      <c r="H224" s="2"/>
      <c r="I224" s="2"/>
      <c r="J224" s="2"/>
    </row>
    <row r="225" spans="2:10" ht="14.25" customHeight="1" x14ac:dyDescent="0.3">
      <c r="B225" s="2"/>
      <c r="C225" s="2"/>
      <c r="D225" s="2"/>
      <c r="E225" s="2"/>
      <c r="F225" s="2"/>
      <c r="G225" s="2"/>
      <c r="H225" s="2"/>
      <c r="I225" s="2"/>
      <c r="J225" s="2"/>
    </row>
    <row r="226" spans="2:10" ht="14.25" customHeight="1" x14ac:dyDescent="0.3">
      <c r="B226" s="2"/>
      <c r="C226" s="2"/>
      <c r="D226" s="2"/>
      <c r="E226" s="2"/>
      <c r="F226" s="2"/>
      <c r="G226" s="2"/>
      <c r="H226" s="2"/>
      <c r="I226" s="2"/>
      <c r="J226" s="2"/>
    </row>
    <row r="227" spans="2:10" ht="14.25" customHeight="1" x14ac:dyDescent="0.3">
      <c r="B227" s="2"/>
      <c r="C227" s="2"/>
      <c r="D227" s="2"/>
      <c r="E227" s="2"/>
      <c r="F227" s="2"/>
      <c r="G227" s="2"/>
      <c r="H227" s="2"/>
      <c r="I227" s="2"/>
      <c r="J227" s="2"/>
    </row>
    <row r="228" spans="2:10" ht="14.25" customHeight="1" x14ac:dyDescent="0.3">
      <c r="B228" s="2"/>
      <c r="C228" s="2"/>
      <c r="D228" s="2"/>
      <c r="E228" s="2"/>
      <c r="F228" s="2"/>
      <c r="G228" s="2"/>
      <c r="H228" s="2"/>
      <c r="I228" s="2"/>
      <c r="J228" s="2"/>
    </row>
    <row r="229" spans="2:10" ht="14.25" customHeight="1" x14ac:dyDescent="0.3">
      <c r="B229" s="2"/>
      <c r="C229" s="2"/>
      <c r="D229" s="2"/>
      <c r="E229" s="2"/>
      <c r="F229" s="2"/>
      <c r="G229" s="2"/>
      <c r="H229" s="2"/>
      <c r="I229" s="2"/>
      <c r="J229" s="2"/>
    </row>
    <row r="230" spans="2:10" ht="14.25" customHeight="1" x14ac:dyDescent="0.3">
      <c r="B230" s="2"/>
      <c r="C230" s="2"/>
      <c r="D230" s="2"/>
      <c r="E230" s="2"/>
      <c r="F230" s="2"/>
      <c r="G230" s="2"/>
      <c r="H230" s="2"/>
      <c r="I230" s="2"/>
      <c r="J230" s="2"/>
    </row>
    <row r="231" spans="2:10" ht="14.25" customHeight="1" x14ac:dyDescent="0.3">
      <c r="B231" s="2"/>
      <c r="C231" s="2"/>
      <c r="D231" s="2"/>
      <c r="E231" s="2"/>
      <c r="F231" s="2"/>
      <c r="G231" s="2"/>
      <c r="H231" s="2"/>
      <c r="I231" s="2"/>
      <c r="J231" s="2"/>
    </row>
    <row r="232" spans="2:10" ht="14.25" customHeight="1" x14ac:dyDescent="0.3">
      <c r="B232" s="2"/>
      <c r="C232" s="2"/>
      <c r="D232" s="2"/>
      <c r="E232" s="2"/>
      <c r="F232" s="2"/>
      <c r="G232" s="2"/>
      <c r="H232" s="2"/>
      <c r="I232" s="2"/>
      <c r="J232" s="2"/>
    </row>
    <row r="233" spans="2:10" ht="14.25" customHeight="1" x14ac:dyDescent="0.3">
      <c r="B233" s="2"/>
      <c r="C233" s="2"/>
      <c r="D233" s="2"/>
      <c r="E233" s="2"/>
      <c r="F233" s="2"/>
      <c r="G233" s="2"/>
      <c r="H233" s="2"/>
      <c r="I233" s="2"/>
      <c r="J233" s="2"/>
    </row>
    <row r="234" spans="2:10" ht="14.25" customHeight="1" x14ac:dyDescent="0.3">
      <c r="B234" s="2"/>
      <c r="C234" s="2"/>
      <c r="D234" s="2"/>
      <c r="E234" s="2"/>
      <c r="F234" s="2"/>
      <c r="G234" s="2"/>
      <c r="H234" s="2"/>
      <c r="I234" s="2"/>
      <c r="J234" s="2"/>
    </row>
    <row r="235" spans="2:10" ht="14.25" customHeight="1" x14ac:dyDescent="0.3">
      <c r="B235" s="2"/>
      <c r="C235" s="2"/>
      <c r="D235" s="2"/>
      <c r="E235" s="2"/>
      <c r="F235" s="2"/>
      <c r="G235" s="2"/>
      <c r="H235" s="2"/>
      <c r="I235" s="2"/>
      <c r="J235" s="2"/>
    </row>
    <row r="236" spans="2:10" ht="14.25" customHeight="1" x14ac:dyDescent="0.3">
      <c r="B236" s="2"/>
      <c r="C236" s="2"/>
      <c r="D236" s="2"/>
      <c r="E236" s="2"/>
      <c r="F236" s="2"/>
      <c r="G236" s="2"/>
      <c r="H236" s="2"/>
      <c r="I236" s="2"/>
      <c r="J236" s="2"/>
    </row>
    <row r="237" spans="2:10" ht="14.25" customHeight="1" x14ac:dyDescent="0.3">
      <c r="B237" s="2"/>
      <c r="C237" s="2"/>
      <c r="D237" s="2"/>
      <c r="E237" s="2"/>
      <c r="F237" s="2"/>
      <c r="G237" s="2"/>
      <c r="H237" s="2"/>
      <c r="I237" s="2"/>
      <c r="J237" s="2"/>
    </row>
    <row r="238" spans="2:10" ht="14.25" customHeight="1" x14ac:dyDescent="0.3">
      <c r="B238" s="2"/>
      <c r="C238" s="2"/>
      <c r="D238" s="2"/>
      <c r="E238" s="2"/>
      <c r="F238" s="2"/>
      <c r="G238" s="2"/>
      <c r="H238" s="2"/>
      <c r="I238" s="2"/>
      <c r="J238" s="2"/>
    </row>
    <row r="239" spans="2:10" ht="14.25" customHeight="1" x14ac:dyDescent="0.3">
      <c r="B239" s="2"/>
      <c r="C239" s="2"/>
      <c r="D239" s="2"/>
      <c r="E239" s="2"/>
      <c r="F239" s="2"/>
      <c r="G239" s="2"/>
      <c r="H239" s="2"/>
      <c r="I239" s="2"/>
      <c r="J239" s="2"/>
    </row>
    <row r="240" spans="2:10" ht="14.25" customHeight="1" x14ac:dyDescent="0.3">
      <c r="B240" s="2"/>
      <c r="C240" s="2"/>
      <c r="D240" s="2"/>
      <c r="E240" s="2"/>
      <c r="F240" s="2"/>
      <c r="G240" s="2"/>
      <c r="H240" s="2"/>
      <c r="I240" s="2"/>
      <c r="J240" s="2"/>
    </row>
    <row r="241" spans="2:10" ht="14.25" customHeight="1" x14ac:dyDescent="0.3">
      <c r="B241" s="2"/>
      <c r="C241" s="2"/>
      <c r="D241" s="2"/>
      <c r="E241" s="2"/>
      <c r="F241" s="2"/>
      <c r="G241" s="2"/>
      <c r="H241" s="2"/>
      <c r="I241" s="2"/>
      <c r="J241" s="2"/>
    </row>
    <row r="242" spans="2:10" ht="14.25" customHeight="1" x14ac:dyDescent="0.25"/>
    <row r="243" spans="2:10" ht="14.25" customHeight="1" x14ac:dyDescent="0.25"/>
    <row r="244" spans="2:10" ht="14.25" customHeight="1" x14ac:dyDescent="0.25"/>
    <row r="245" spans="2:10" ht="14.25" customHeight="1" x14ac:dyDescent="0.25"/>
    <row r="246" spans="2:10" ht="14.25" customHeight="1" x14ac:dyDescent="0.25"/>
    <row r="247" spans="2:10" ht="14.25" customHeight="1" x14ac:dyDescent="0.25"/>
    <row r="248" spans="2:10" ht="14.25" customHeight="1" x14ac:dyDescent="0.25"/>
    <row r="249" spans="2:10" ht="14.25" customHeight="1" x14ac:dyDescent="0.25"/>
    <row r="250" spans="2:10" ht="14.25" customHeight="1" x14ac:dyDescent="0.25"/>
    <row r="251" spans="2:10" ht="14.25" customHeight="1" x14ac:dyDescent="0.25"/>
    <row r="252" spans="2:10" ht="14.25" customHeight="1" x14ac:dyDescent="0.25"/>
    <row r="253" spans="2:10" ht="14.25" customHeight="1" x14ac:dyDescent="0.25"/>
    <row r="254" spans="2:10" ht="14.25" customHeight="1" x14ac:dyDescent="0.25"/>
    <row r="255" spans="2:10" ht="14.25" customHeight="1" x14ac:dyDescent="0.25"/>
    <row r="256" spans="2:10"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sheetData>
  <pageMargins left="0.75" right="0.75" top="1" bottom="1"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ED3F6-3710-4195-9C79-19D6915471D0}">
  <dimension ref="A1:J835"/>
  <sheetViews>
    <sheetView zoomScaleNormal="100" workbookViewId="0">
      <selection activeCell="A57" sqref="A57"/>
    </sheetView>
  </sheetViews>
  <sheetFormatPr defaultColWidth="12.59765625" defaultRowHeight="15" customHeight="1" x14ac:dyDescent="0.25"/>
  <cols>
    <col min="1" max="1" width="31.59765625" style="25" bestFit="1" customWidth="1"/>
    <col min="2" max="2" width="12.296875" style="25" customWidth="1"/>
    <col min="3" max="3" width="16.19921875" style="25" bestFit="1" customWidth="1"/>
    <col min="4" max="4" width="16.09765625" style="25" bestFit="1" customWidth="1"/>
    <col min="5" max="5" width="13.59765625" style="25" customWidth="1"/>
    <col min="6" max="6" width="9.69921875" style="25" customWidth="1"/>
    <col min="7" max="7" width="7" style="25" customWidth="1"/>
    <col min="8" max="9" width="10.09765625" style="25" customWidth="1"/>
    <col min="10" max="10" width="10" style="25" customWidth="1"/>
    <col min="11" max="11" width="7.59765625" style="25" customWidth="1"/>
    <col min="12" max="16384" width="12.59765625" style="25"/>
  </cols>
  <sheetData>
    <row r="1" spans="1:10" ht="14.25" customHeight="1" x14ac:dyDescent="0.3">
      <c r="A1" s="31" t="s">
        <v>106</v>
      </c>
      <c r="B1" s="31" t="s">
        <v>105</v>
      </c>
      <c r="C1" s="31" t="s">
        <v>104</v>
      </c>
      <c r="D1" s="31" t="s">
        <v>103</v>
      </c>
      <c r="E1" s="31" t="s">
        <v>102</v>
      </c>
      <c r="F1" s="31" t="s">
        <v>101</v>
      </c>
      <c r="G1" s="31" t="s">
        <v>100</v>
      </c>
      <c r="H1" s="31" t="s">
        <v>99</v>
      </c>
      <c r="I1" s="31" t="s">
        <v>98</v>
      </c>
      <c r="J1" s="31" t="s">
        <v>97</v>
      </c>
    </row>
    <row r="2" spans="1:10" ht="14.25" customHeight="1" x14ac:dyDescent="0.3">
      <c r="A2" s="26" t="s">
        <v>96</v>
      </c>
      <c r="B2" s="29" t="s">
        <v>60</v>
      </c>
      <c r="C2" s="29">
        <v>44606</v>
      </c>
      <c r="D2" s="29">
        <v>45028</v>
      </c>
      <c r="E2" s="28">
        <v>354000</v>
      </c>
      <c r="F2" s="26">
        <v>4</v>
      </c>
      <c r="G2" s="26">
        <v>2</v>
      </c>
      <c r="H2" s="27">
        <v>2088</v>
      </c>
      <c r="I2" s="26" t="b">
        <v>0</v>
      </c>
      <c r="J2" s="26" t="b">
        <v>1</v>
      </c>
    </row>
    <row r="3" spans="1:10" ht="14.25" customHeight="1" x14ac:dyDescent="0.3">
      <c r="A3" s="26" t="s">
        <v>95</v>
      </c>
      <c r="B3" s="29" t="s">
        <v>60</v>
      </c>
      <c r="C3" s="30">
        <v>44612</v>
      </c>
      <c r="D3" s="29"/>
      <c r="E3" s="28">
        <v>239900</v>
      </c>
      <c r="F3" s="26">
        <v>2</v>
      </c>
      <c r="G3" s="26">
        <v>2</v>
      </c>
      <c r="H3" s="27">
        <v>1248</v>
      </c>
      <c r="I3" s="26" t="b">
        <v>0</v>
      </c>
      <c r="J3" s="26" t="b">
        <v>0</v>
      </c>
    </row>
    <row r="4" spans="1:10" ht="14.25" customHeight="1" x14ac:dyDescent="0.3">
      <c r="A4" s="26" t="s">
        <v>94</v>
      </c>
      <c r="B4" s="29" t="s">
        <v>48</v>
      </c>
      <c r="C4" s="29">
        <v>44621</v>
      </c>
      <c r="D4" s="29"/>
      <c r="E4" s="28">
        <v>229900</v>
      </c>
      <c r="F4" s="26">
        <v>4</v>
      </c>
      <c r="G4" s="26">
        <v>3</v>
      </c>
      <c r="H4" s="27">
        <v>2006</v>
      </c>
      <c r="I4" s="26" t="b">
        <v>0</v>
      </c>
      <c r="J4" s="26" t="b">
        <v>0</v>
      </c>
    </row>
    <row r="5" spans="1:10" ht="14.25" customHeight="1" x14ac:dyDescent="0.3">
      <c r="A5" s="26" t="s">
        <v>93</v>
      </c>
      <c r="B5" s="29" t="s">
        <v>60</v>
      </c>
      <c r="C5" s="29">
        <v>44627</v>
      </c>
      <c r="D5" s="29"/>
      <c r="E5" s="28">
        <v>364900</v>
      </c>
      <c r="F5" s="26">
        <v>4</v>
      </c>
      <c r="G5" s="26">
        <v>2.5</v>
      </c>
      <c r="H5" s="27">
        <v>2507</v>
      </c>
      <c r="I5" s="26" t="b">
        <v>0</v>
      </c>
      <c r="J5" s="26" t="b">
        <v>0</v>
      </c>
    </row>
    <row r="6" spans="1:10" ht="14.25" customHeight="1" x14ac:dyDescent="0.3">
      <c r="A6" s="26" t="s">
        <v>92</v>
      </c>
      <c r="B6" s="29" t="s">
        <v>60</v>
      </c>
      <c r="C6" s="29">
        <v>44629</v>
      </c>
      <c r="D6" s="29">
        <v>45111</v>
      </c>
      <c r="E6" s="28">
        <v>235910</v>
      </c>
      <c r="F6" s="26">
        <v>4</v>
      </c>
      <c r="G6" s="26">
        <v>3</v>
      </c>
      <c r="H6" s="27">
        <v>2285</v>
      </c>
      <c r="I6" s="26" t="b">
        <v>1</v>
      </c>
      <c r="J6" s="26" t="b">
        <v>1</v>
      </c>
    </row>
    <row r="7" spans="1:10" ht="14.25" customHeight="1" x14ac:dyDescent="0.3">
      <c r="A7" s="26" t="s">
        <v>91</v>
      </c>
      <c r="B7" s="29" t="s">
        <v>48</v>
      </c>
      <c r="C7" s="29">
        <v>44637</v>
      </c>
      <c r="D7" s="29">
        <v>45071</v>
      </c>
      <c r="E7" s="28">
        <v>215000</v>
      </c>
      <c r="F7" s="26">
        <v>3</v>
      </c>
      <c r="G7" s="26">
        <v>1.75</v>
      </c>
      <c r="H7" s="27">
        <v>2157</v>
      </c>
      <c r="I7" s="26" t="b">
        <v>1</v>
      </c>
      <c r="J7" s="26" t="b">
        <v>1</v>
      </c>
    </row>
    <row r="8" spans="1:10" ht="14.25" customHeight="1" x14ac:dyDescent="0.3">
      <c r="A8" s="26" t="s">
        <v>90</v>
      </c>
      <c r="B8" s="29" t="s">
        <v>48</v>
      </c>
      <c r="C8" s="29">
        <v>44651</v>
      </c>
      <c r="D8" s="29"/>
      <c r="E8" s="28">
        <v>365000</v>
      </c>
      <c r="F8" s="26">
        <v>3</v>
      </c>
      <c r="G8" s="26">
        <v>2.5</v>
      </c>
      <c r="H8" s="27">
        <v>1871</v>
      </c>
      <c r="I8" s="26" t="b">
        <v>0</v>
      </c>
      <c r="J8" s="26" t="b">
        <v>0</v>
      </c>
    </row>
    <row r="9" spans="1:10" ht="14.25" customHeight="1" x14ac:dyDescent="0.3">
      <c r="A9" s="26" t="s">
        <v>89</v>
      </c>
      <c r="B9" s="29" t="s">
        <v>48</v>
      </c>
      <c r="C9" s="30">
        <v>44655</v>
      </c>
      <c r="D9" s="29"/>
      <c r="E9" s="28">
        <v>319000</v>
      </c>
      <c r="F9" s="26">
        <v>4</v>
      </c>
      <c r="G9" s="26">
        <v>2</v>
      </c>
      <c r="H9" s="27">
        <v>1690</v>
      </c>
      <c r="I9" s="26" t="b">
        <v>1</v>
      </c>
      <c r="J9" s="26" t="b">
        <v>0</v>
      </c>
    </row>
    <row r="10" spans="1:10" ht="14.25" customHeight="1" x14ac:dyDescent="0.3">
      <c r="A10" s="26" t="s">
        <v>88</v>
      </c>
      <c r="B10" s="29" t="s">
        <v>51</v>
      </c>
      <c r="C10" s="29">
        <v>44665</v>
      </c>
      <c r="D10" s="29"/>
      <c r="E10" s="28">
        <v>375000</v>
      </c>
      <c r="F10" s="26">
        <v>4</v>
      </c>
      <c r="G10" s="26">
        <v>3</v>
      </c>
      <c r="H10" s="27">
        <v>2467</v>
      </c>
      <c r="I10" s="26" t="b">
        <v>1</v>
      </c>
      <c r="J10" s="26" t="b">
        <v>0</v>
      </c>
    </row>
    <row r="11" spans="1:10" ht="14.25" customHeight="1" x14ac:dyDescent="0.3">
      <c r="A11" s="26" t="s">
        <v>87</v>
      </c>
      <c r="B11" s="29" t="s">
        <v>48</v>
      </c>
      <c r="C11" s="29">
        <v>44672</v>
      </c>
      <c r="D11" s="29"/>
      <c r="E11" s="28">
        <v>265000</v>
      </c>
      <c r="F11" s="26">
        <v>4</v>
      </c>
      <c r="G11" s="26">
        <v>3</v>
      </c>
      <c r="H11" s="27">
        <v>1905</v>
      </c>
      <c r="I11" s="26" t="b">
        <v>0</v>
      </c>
      <c r="J11" s="26" t="b">
        <v>0</v>
      </c>
    </row>
    <row r="12" spans="1:10" ht="14.25" customHeight="1" x14ac:dyDescent="0.3">
      <c r="A12" s="26" t="s">
        <v>86</v>
      </c>
      <c r="B12" s="29" t="s">
        <v>48</v>
      </c>
      <c r="C12" s="29">
        <v>44675</v>
      </c>
      <c r="D12" s="29"/>
      <c r="E12" s="28">
        <v>250000</v>
      </c>
      <c r="F12" s="26">
        <v>3</v>
      </c>
      <c r="G12" s="26">
        <v>2</v>
      </c>
      <c r="H12" s="27">
        <v>2066</v>
      </c>
      <c r="I12" s="26" t="b">
        <v>0</v>
      </c>
      <c r="J12" s="26" t="b">
        <v>0</v>
      </c>
    </row>
    <row r="13" spans="1:10" ht="14.25" customHeight="1" x14ac:dyDescent="0.3">
      <c r="A13" s="26" t="s">
        <v>85</v>
      </c>
      <c r="B13" s="29" t="s">
        <v>48</v>
      </c>
      <c r="C13" s="29">
        <v>44681</v>
      </c>
      <c r="D13" s="29"/>
      <c r="E13" s="28">
        <v>625000</v>
      </c>
      <c r="F13" s="26">
        <v>6</v>
      </c>
      <c r="G13" s="26">
        <v>4</v>
      </c>
      <c r="H13" s="27">
        <v>3950</v>
      </c>
      <c r="I13" s="26" t="b">
        <v>1</v>
      </c>
      <c r="J13" s="26" t="b">
        <v>0</v>
      </c>
    </row>
    <row r="14" spans="1:10" ht="14.25" customHeight="1" x14ac:dyDescent="0.3">
      <c r="A14" s="26" t="s">
        <v>84</v>
      </c>
      <c r="B14" s="29" t="s">
        <v>53</v>
      </c>
      <c r="C14" s="29">
        <v>44683</v>
      </c>
      <c r="D14" s="29"/>
      <c r="E14" s="28">
        <v>549000</v>
      </c>
      <c r="F14" s="26">
        <v>4</v>
      </c>
      <c r="G14" s="26">
        <v>3</v>
      </c>
      <c r="H14" s="27">
        <v>1940</v>
      </c>
      <c r="I14" s="26" t="b">
        <v>1</v>
      </c>
      <c r="J14" s="26" t="b">
        <v>0</v>
      </c>
    </row>
    <row r="15" spans="1:10" ht="14.25" customHeight="1" x14ac:dyDescent="0.3">
      <c r="A15" s="26" t="s">
        <v>83</v>
      </c>
      <c r="B15" s="29" t="s">
        <v>48</v>
      </c>
      <c r="C15" s="29">
        <v>44686</v>
      </c>
      <c r="D15" s="29">
        <v>44901</v>
      </c>
      <c r="E15" s="28">
        <v>229500</v>
      </c>
      <c r="F15" s="26">
        <v>4</v>
      </c>
      <c r="G15" s="26">
        <v>3</v>
      </c>
      <c r="H15" s="27">
        <v>2041</v>
      </c>
      <c r="I15" s="26" t="b">
        <v>0</v>
      </c>
      <c r="J15" s="26" t="b">
        <v>1</v>
      </c>
    </row>
    <row r="16" spans="1:10" ht="14.25" customHeight="1" x14ac:dyDescent="0.3">
      <c r="A16" s="26" t="s">
        <v>82</v>
      </c>
      <c r="B16" s="29" t="s">
        <v>60</v>
      </c>
      <c r="C16" s="29">
        <v>44691</v>
      </c>
      <c r="D16" s="29"/>
      <c r="E16" s="28">
        <v>319000</v>
      </c>
      <c r="F16" s="26">
        <v>3</v>
      </c>
      <c r="G16" s="26">
        <v>2.5</v>
      </c>
      <c r="H16" s="27">
        <v>2586</v>
      </c>
      <c r="I16" s="26" t="b">
        <v>0</v>
      </c>
      <c r="J16" s="26" t="b">
        <v>0</v>
      </c>
    </row>
    <row r="17" spans="1:10" ht="14.25" customHeight="1" x14ac:dyDescent="0.3">
      <c r="A17" s="26" t="s">
        <v>81</v>
      </c>
      <c r="B17" s="29" t="s">
        <v>53</v>
      </c>
      <c r="C17" s="29">
        <v>44693</v>
      </c>
      <c r="D17" s="30">
        <v>45102</v>
      </c>
      <c r="E17" s="28">
        <v>335000</v>
      </c>
      <c r="F17" s="26">
        <v>3</v>
      </c>
      <c r="G17" s="26">
        <v>2.5</v>
      </c>
      <c r="H17" s="27">
        <v>2000</v>
      </c>
      <c r="I17" s="26" t="b">
        <v>1</v>
      </c>
      <c r="J17" s="26" t="b">
        <v>1</v>
      </c>
    </row>
    <row r="18" spans="1:10" ht="14.25" customHeight="1" x14ac:dyDescent="0.3">
      <c r="A18" s="26" t="s">
        <v>80</v>
      </c>
      <c r="B18" s="29" t="s">
        <v>58</v>
      </c>
      <c r="C18" s="29">
        <v>44698</v>
      </c>
      <c r="D18" s="29">
        <v>44941</v>
      </c>
      <c r="E18" s="28">
        <v>285000</v>
      </c>
      <c r="F18" s="26">
        <v>2</v>
      </c>
      <c r="G18" s="26">
        <v>1</v>
      </c>
      <c r="H18" s="27">
        <v>2036</v>
      </c>
      <c r="I18" s="26" t="b">
        <v>0</v>
      </c>
      <c r="J18" s="26" t="b">
        <v>1</v>
      </c>
    </row>
    <row r="19" spans="1:10" ht="14.25" customHeight="1" x14ac:dyDescent="0.3">
      <c r="A19" s="26" t="s">
        <v>79</v>
      </c>
      <c r="B19" s="29" t="s">
        <v>58</v>
      </c>
      <c r="C19" s="30">
        <v>44707</v>
      </c>
      <c r="D19" s="29"/>
      <c r="E19" s="28">
        <v>119000</v>
      </c>
      <c r="F19" s="26">
        <v>1</v>
      </c>
      <c r="G19" s="26">
        <v>1</v>
      </c>
      <c r="H19" s="27">
        <v>950</v>
      </c>
      <c r="I19" s="26" t="b">
        <v>0</v>
      </c>
      <c r="J19" s="26" t="b">
        <v>0</v>
      </c>
    </row>
    <row r="20" spans="1:10" ht="14.25" customHeight="1" x14ac:dyDescent="0.3">
      <c r="A20" s="26" t="s">
        <v>78</v>
      </c>
      <c r="B20" s="29" t="s">
        <v>58</v>
      </c>
      <c r="C20" s="29">
        <v>44707</v>
      </c>
      <c r="D20" s="29"/>
      <c r="E20" s="28">
        <v>119000</v>
      </c>
      <c r="F20" s="26">
        <v>1</v>
      </c>
      <c r="G20" s="26">
        <v>1</v>
      </c>
      <c r="H20" s="27">
        <v>950</v>
      </c>
      <c r="I20" s="26" t="b">
        <v>0</v>
      </c>
      <c r="J20" s="26" t="b">
        <v>0</v>
      </c>
    </row>
    <row r="21" spans="1:10" ht="14.25" customHeight="1" x14ac:dyDescent="0.3">
      <c r="A21" s="26" t="s">
        <v>77</v>
      </c>
      <c r="B21" s="29" t="s">
        <v>48</v>
      </c>
      <c r="C21" s="29">
        <v>44714</v>
      </c>
      <c r="D21" s="29"/>
      <c r="E21" s="28">
        <v>389500</v>
      </c>
      <c r="F21" s="26">
        <v>4</v>
      </c>
      <c r="G21" s="26">
        <v>2</v>
      </c>
      <c r="H21" s="27">
        <v>1971</v>
      </c>
      <c r="I21" s="26" t="b">
        <v>0</v>
      </c>
      <c r="J21" s="26" t="b">
        <v>0</v>
      </c>
    </row>
    <row r="22" spans="1:10" ht="14.25" customHeight="1" x14ac:dyDescent="0.3">
      <c r="A22" s="26" t="s">
        <v>76</v>
      </c>
      <c r="B22" s="29" t="s">
        <v>48</v>
      </c>
      <c r="C22" s="29">
        <v>44720</v>
      </c>
      <c r="D22" s="29">
        <v>45226</v>
      </c>
      <c r="E22" s="28">
        <v>325000</v>
      </c>
      <c r="F22" s="26">
        <v>3</v>
      </c>
      <c r="G22" s="26">
        <v>2.5</v>
      </c>
      <c r="H22" s="27">
        <v>1752</v>
      </c>
      <c r="I22" s="26" t="b">
        <v>0</v>
      </c>
      <c r="J22" s="26" t="b">
        <v>1</v>
      </c>
    </row>
    <row r="23" spans="1:10" ht="14.25" customHeight="1" x14ac:dyDescent="0.3">
      <c r="A23" s="26" t="s">
        <v>76</v>
      </c>
      <c r="B23" s="29" t="s">
        <v>48</v>
      </c>
      <c r="C23" s="29">
        <v>44720</v>
      </c>
      <c r="D23" s="29">
        <v>45226</v>
      </c>
      <c r="E23" s="28">
        <v>325000</v>
      </c>
      <c r="F23" s="26">
        <v>3</v>
      </c>
      <c r="G23" s="26">
        <v>2.5</v>
      </c>
      <c r="H23" s="27">
        <v>1752</v>
      </c>
      <c r="I23" s="26" t="b">
        <v>0</v>
      </c>
      <c r="J23" s="26" t="b">
        <v>1</v>
      </c>
    </row>
    <row r="24" spans="1:10" ht="14.25" customHeight="1" x14ac:dyDescent="0.3">
      <c r="A24" s="26" t="s">
        <v>75</v>
      </c>
      <c r="B24" s="29" t="s">
        <v>48</v>
      </c>
      <c r="C24" s="29">
        <v>44743</v>
      </c>
      <c r="D24" s="29"/>
      <c r="E24" s="28">
        <v>236900</v>
      </c>
      <c r="F24" s="26">
        <v>3</v>
      </c>
      <c r="G24" s="26">
        <v>2</v>
      </c>
      <c r="H24" s="27">
        <v>1700</v>
      </c>
      <c r="I24" s="26" t="b">
        <v>0</v>
      </c>
      <c r="J24" s="26" t="b">
        <v>0</v>
      </c>
    </row>
    <row r="25" spans="1:10" ht="14.25" customHeight="1" x14ac:dyDescent="0.3">
      <c r="A25" s="26" t="s">
        <v>74</v>
      </c>
      <c r="B25" s="29" t="s">
        <v>58</v>
      </c>
      <c r="C25" s="29">
        <v>44743</v>
      </c>
      <c r="D25" s="29">
        <v>44951</v>
      </c>
      <c r="E25" s="28">
        <v>309950</v>
      </c>
      <c r="F25" s="26">
        <v>4</v>
      </c>
      <c r="G25" s="26">
        <v>3</v>
      </c>
      <c r="H25" s="27">
        <v>2800</v>
      </c>
      <c r="I25" s="26" t="b">
        <v>0</v>
      </c>
      <c r="J25" s="26" t="b">
        <v>1</v>
      </c>
    </row>
    <row r="26" spans="1:10" ht="14.25" customHeight="1" x14ac:dyDescent="0.3">
      <c r="A26" s="26" t="s">
        <v>73</v>
      </c>
      <c r="B26" s="29" t="s">
        <v>48</v>
      </c>
      <c r="C26" s="29">
        <v>44754</v>
      </c>
      <c r="D26" s="29"/>
      <c r="E26" s="28">
        <v>268500</v>
      </c>
      <c r="F26" s="26">
        <v>4</v>
      </c>
      <c r="G26" s="26">
        <v>2.5</v>
      </c>
      <c r="H26" s="27">
        <v>1911</v>
      </c>
      <c r="I26" s="26" t="b">
        <v>0</v>
      </c>
      <c r="J26" s="26" t="b">
        <v>0</v>
      </c>
    </row>
    <row r="27" spans="1:10" ht="14.25" customHeight="1" x14ac:dyDescent="0.3">
      <c r="A27" s="26" t="s">
        <v>72</v>
      </c>
      <c r="B27" s="29" t="s">
        <v>48</v>
      </c>
      <c r="C27" s="30">
        <v>44767</v>
      </c>
      <c r="D27" s="29"/>
      <c r="E27" s="28">
        <v>309950</v>
      </c>
      <c r="F27" s="26">
        <v>4</v>
      </c>
      <c r="G27" s="26">
        <v>3</v>
      </c>
      <c r="H27" s="27">
        <v>2800</v>
      </c>
      <c r="I27" s="26" t="b">
        <v>1</v>
      </c>
      <c r="J27" s="26" t="b">
        <v>0</v>
      </c>
    </row>
    <row r="28" spans="1:10" ht="14.25" customHeight="1" x14ac:dyDescent="0.3">
      <c r="A28" s="26" t="s">
        <v>71</v>
      </c>
      <c r="B28" s="29" t="s">
        <v>48</v>
      </c>
      <c r="C28" s="30">
        <v>44767</v>
      </c>
      <c r="D28" s="29"/>
      <c r="E28" s="28">
        <v>338876</v>
      </c>
      <c r="F28" s="26">
        <v>4</v>
      </c>
      <c r="G28" s="26">
        <v>3</v>
      </c>
      <c r="H28" s="27">
        <v>2483</v>
      </c>
      <c r="I28" s="26" t="b">
        <v>1</v>
      </c>
      <c r="J28" s="26" t="b">
        <v>0</v>
      </c>
    </row>
    <row r="29" spans="1:10" ht="14.25" customHeight="1" x14ac:dyDescent="0.3">
      <c r="A29" s="26" t="s">
        <v>70</v>
      </c>
      <c r="B29" s="29" t="s">
        <v>48</v>
      </c>
      <c r="C29" s="30">
        <v>44767</v>
      </c>
      <c r="D29" s="29"/>
      <c r="E29" s="28">
        <v>309950</v>
      </c>
      <c r="F29" s="26">
        <v>4</v>
      </c>
      <c r="G29" s="26">
        <v>3</v>
      </c>
      <c r="H29" s="27">
        <v>2800</v>
      </c>
      <c r="I29" s="26" t="b">
        <v>1</v>
      </c>
      <c r="J29" s="26" t="b">
        <v>0</v>
      </c>
    </row>
    <row r="30" spans="1:10" ht="14.25" customHeight="1" x14ac:dyDescent="0.3">
      <c r="A30" s="26" t="s">
        <v>69</v>
      </c>
      <c r="B30" s="29" t="s">
        <v>48</v>
      </c>
      <c r="C30" s="29">
        <v>44773</v>
      </c>
      <c r="D30" s="30">
        <v>45254</v>
      </c>
      <c r="E30" s="28">
        <v>242500</v>
      </c>
      <c r="F30" s="26">
        <v>3</v>
      </c>
      <c r="G30" s="26">
        <v>2.5</v>
      </c>
      <c r="H30" s="27">
        <v>1902</v>
      </c>
      <c r="I30" s="26" t="b">
        <v>0</v>
      </c>
      <c r="J30" s="26" t="b">
        <v>1</v>
      </c>
    </row>
    <row r="31" spans="1:10" ht="14.25" customHeight="1" x14ac:dyDescent="0.3">
      <c r="A31" s="26" t="s">
        <v>68</v>
      </c>
      <c r="B31" s="29" t="s">
        <v>58</v>
      </c>
      <c r="C31" s="29">
        <v>44778</v>
      </c>
      <c r="D31" s="29">
        <v>45285</v>
      </c>
      <c r="E31" s="28">
        <v>389900</v>
      </c>
      <c r="F31" s="26">
        <v>4</v>
      </c>
      <c r="G31" s="26">
        <v>2.5</v>
      </c>
      <c r="H31" s="27">
        <v>2284</v>
      </c>
      <c r="I31" s="26" t="b">
        <v>0</v>
      </c>
      <c r="J31" s="26" t="b">
        <v>1</v>
      </c>
    </row>
    <row r="32" spans="1:10" ht="14.25" customHeight="1" x14ac:dyDescent="0.3">
      <c r="A32" s="26" t="s">
        <v>67</v>
      </c>
      <c r="B32" s="29" t="s">
        <v>48</v>
      </c>
      <c r="C32" s="29">
        <v>44785</v>
      </c>
      <c r="D32" s="29"/>
      <c r="E32" s="28">
        <v>214500</v>
      </c>
      <c r="F32" s="26">
        <v>4</v>
      </c>
      <c r="G32" s="26">
        <v>2.5</v>
      </c>
      <c r="H32" s="27">
        <v>1862</v>
      </c>
      <c r="I32" s="26" t="b">
        <v>1</v>
      </c>
      <c r="J32" s="26" t="b">
        <v>0</v>
      </c>
    </row>
    <row r="33" spans="1:10" ht="14.25" customHeight="1" x14ac:dyDescent="0.3">
      <c r="A33" s="26" t="s">
        <v>66</v>
      </c>
      <c r="B33" s="29" t="s">
        <v>48</v>
      </c>
      <c r="C33" s="29">
        <v>44793</v>
      </c>
      <c r="D33" s="29"/>
      <c r="E33" s="28">
        <v>339900</v>
      </c>
      <c r="F33" s="26">
        <v>4</v>
      </c>
      <c r="G33" s="26">
        <v>2</v>
      </c>
      <c r="H33" s="27">
        <v>2238</v>
      </c>
      <c r="I33" s="26" t="b">
        <v>0</v>
      </c>
      <c r="J33" s="26" t="b">
        <v>0</v>
      </c>
    </row>
    <row r="34" spans="1:10" ht="14.25" customHeight="1" x14ac:dyDescent="0.3">
      <c r="A34" s="26" t="s">
        <v>65</v>
      </c>
      <c r="B34" s="29" t="s">
        <v>60</v>
      </c>
      <c r="C34" s="29">
        <v>44795</v>
      </c>
      <c r="D34" s="29"/>
      <c r="E34" s="28">
        <v>225911</v>
      </c>
      <c r="F34" s="26">
        <v>4</v>
      </c>
      <c r="G34" s="26">
        <v>3</v>
      </c>
      <c r="H34" s="27">
        <v>2285</v>
      </c>
      <c r="I34" s="26" t="b">
        <v>1</v>
      </c>
      <c r="J34" s="26" t="b">
        <v>0</v>
      </c>
    </row>
    <row r="35" spans="1:10" ht="14.25" customHeight="1" x14ac:dyDescent="0.3">
      <c r="A35" s="26" t="s">
        <v>64</v>
      </c>
      <c r="B35" s="29" t="s">
        <v>48</v>
      </c>
      <c r="C35" s="29">
        <v>44800</v>
      </c>
      <c r="D35" s="29"/>
      <c r="E35" s="28">
        <v>149900</v>
      </c>
      <c r="F35" s="26">
        <v>2</v>
      </c>
      <c r="G35" s="26">
        <v>1</v>
      </c>
      <c r="H35" s="27">
        <v>1234</v>
      </c>
      <c r="I35" s="26" t="b">
        <v>0</v>
      </c>
      <c r="J35" s="26" t="b">
        <v>0</v>
      </c>
    </row>
    <row r="36" spans="1:10" ht="14.25" customHeight="1" x14ac:dyDescent="0.3">
      <c r="A36" s="26" t="s">
        <v>63</v>
      </c>
      <c r="B36" s="29" t="s">
        <v>53</v>
      </c>
      <c r="C36" s="29">
        <v>44801</v>
      </c>
      <c r="D36" s="29"/>
      <c r="E36" s="28">
        <v>239900</v>
      </c>
      <c r="F36" s="26">
        <v>4</v>
      </c>
      <c r="G36" s="26">
        <v>3</v>
      </c>
      <c r="H36" s="27">
        <v>2278</v>
      </c>
      <c r="I36" s="26" t="b">
        <v>0</v>
      </c>
      <c r="J36" s="26" t="b">
        <v>0</v>
      </c>
    </row>
    <row r="37" spans="1:10" ht="14.25" customHeight="1" x14ac:dyDescent="0.3">
      <c r="A37" s="26" t="s">
        <v>62</v>
      </c>
      <c r="B37" s="29" t="s">
        <v>48</v>
      </c>
      <c r="C37" s="30">
        <v>44809</v>
      </c>
      <c r="D37" s="29"/>
      <c r="E37" s="28">
        <v>249900</v>
      </c>
      <c r="F37" s="26">
        <v>2</v>
      </c>
      <c r="G37" s="26">
        <v>1</v>
      </c>
      <c r="H37" s="27">
        <v>1101</v>
      </c>
      <c r="I37" s="26" t="b">
        <v>0</v>
      </c>
      <c r="J37" s="26" t="b">
        <v>0</v>
      </c>
    </row>
    <row r="38" spans="1:10" ht="14.25" customHeight="1" x14ac:dyDescent="0.3">
      <c r="A38" s="26" t="s">
        <v>61</v>
      </c>
      <c r="B38" s="29" t="s">
        <v>60</v>
      </c>
      <c r="C38" s="30">
        <v>44825</v>
      </c>
      <c r="D38" s="29"/>
      <c r="E38" s="28">
        <v>250000</v>
      </c>
      <c r="F38" s="26">
        <v>4</v>
      </c>
      <c r="G38" s="26">
        <v>3</v>
      </c>
      <c r="H38" s="27">
        <v>1943</v>
      </c>
      <c r="I38" s="26" t="b">
        <v>0</v>
      </c>
      <c r="J38" s="26" t="b">
        <v>0</v>
      </c>
    </row>
    <row r="39" spans="1:10" ht="14.25" customHeight="1" x14ac:dyDescent="0.3">
      <c r="A39" s="26" t="s">
        <v>59</v>
      </c>
      <c r="B39" s="29" t="s">
        <v>58</v>
      </c>
      <c r="C39" s="30">
        <v>44830</v>
      </c>
      <c r="D39" s="29"/>
      <c r="E39" s="28">
        <v>340000</v>
      </c>
      <c r="F39" s="26">
        <v>4</v>
      </c>
      <c r="G39" s="26">
        <v>2.5</v>
      </c>
      <c r="H39" s="27">
        <v>2517</v>
      </c>
      <c r="I39" s="26" t="b">
        <v>0</v>
      </c>
      <c r="J39" s="26" t="b">
        <v>0</v>
      </c>
    </row>
    <row r="40" spans="1:10" ht="14.25" customHeight="1" x14ac:dyDescent="0.3">
      <c r="A40" s="26" t="s">
        <v>57</v>
      </c>
      <c r="B40" s="29" t="s">
        <v>48</v>
      </c>
      <c r="C40" s="29">
        <v>44833</v>
      </c>
      <c r="D40" s="29"/>
      <c r="E40" s="28">
        <v>290000</v>
      </c>
      <c r="F40" s="26">
        <v>4</v>
      </c>
      <c r="G40" s="26">
        <v>2</v>
      </c>
      <c r="H40" s="27">
        <v>2400</v>
      </c>
      <c r="I40" s="26" t="b">
        <v>0</v>
      </c>
      <c r="J40" s="26" t="b">
        <v>0</v>
      </c>
    </row>
    <row r="41" spans="1:10" ht="14.25" customHeight="1" x14ac:dyDescent="0.3">
      <c r="A41" s="26" t="s">
        <v>56</v>
      </c>
      <c r="B41" s="29" t="s">
        <v>48</v>
      </c>
      <c r="C41" s="29">
        <v>44836</v>
      </c>
      <c r="D41" s="29"/>
      <c r="E41" s="28">
        <v>199000</v>
      </c>
      <c r="F41" s="26">
        <v>3</v>
      </c>
      <c r="G41" s="26">
        <v>2.5</v>
      </c>
      <c r="H41" s="27">
        <v>1510</v>
      </c>
      <c r="I41" s="26" t="b">
        <v>0</v>
      </c>
      <c r="J41" s="26" t="b">
        <v>0</v>
      </c>
    </row>
    <row r="42" spans="1:10" ht="14.25" customHeight="1" x14ac:dyDescent="0.3">
      <c r="A42" s="26" t="s">
        <v>55</v>
      </c>
      <c r="B42" s="29" t="s">
        <v>48</v>
      </c>
      <c r="C42" s="29">
        <v>44836</v>
      </c>
      <c r="D42" s="29"/>
      <c r="E42" s="28">
        <v>227500</v>
      </c>
      <c r="F42" s="26">
        <v>4</v>
      </c>
      <c r="G42" s="26">
        <v>3</v>
      </c>
      <c r="H42" s="27">
        <v>1990</v>
      </c>
      <c r="I42" s="26" t="b">
        <v>1</v>
      </c>
      <c r="J42" s="26" t="b">
        <v>0</v>
      </c>
    </row>
    <row r="43" spans="1:10" ht="14.25" customHeight="1" x14ac:dyDescent="0.3">
      <c r="A43" s="26" t="s">
        <v>54</v>
      </c>
      <c r="B43" s="29" t="s">
        <v>53</v>
      </c>
      <c r="C43" s="29">
        <v>44836</v>
      </c>
      <c r="D43" s="29"/>
      <c r="E43" s="28">
        <v>272500</v>
      </c>
      <c r="F43" s="26">
        <v>4</v>
      </c>
      <c r="G43" s="26">
        <v>3</v>
      </c>
      <c r="H43" s="27">
        <v>2006</v>
      </c>
      <c r="I43" s="26" t="b">
        <v>0</v>
      </c>
      <c r="J43" s="26" t="b">
        <v>0</v>
      </c>
    </row>
    <row r="44" spans="1:10" ht="14.25" customHeight="1" x14ac:dyDescent="0.3">
      <c r="A44" s="26" t="s">
        <v>54</v>
      </c>
      <c r="B44" s="29" t="s">
        <v>53</v>
      </c>
      <c r="C44" s="29">
        <v>44836</v>
      </c>
      <c r="D44" s="29"/>
      <c r="E44" s="28">
        <v>272500</v>
      </c>
      <c r="F44" s="26">
        <v>4</v>
      </c>
      <c r="G44" s="26">
        <v>3</v>
      </c>
      <c r="H44" s="27">
        <v>2006</v>
      </c>
      <c r="I44" s="26" t="b">
        <v>0</v>
      </c>
      <c r="J44" s="26" t="b">
        <v>0</v>
      </c>
    </row>
    <row r="45" spans="1:10" ht="14.25" customHeight="1" x14ac:dyDescent="0.3">
      <c r="A45" s="26" t="s">
        <v>52</v>
      </c>
      <c r="B45" s="29" t="s">
        <v>51</v>
      </c>
      <c r="C45" s="29">
        <v>44838</v>
      </c>
      <c r="D45" s="29"/>
      <c r="E45" s="28">
        <v>345000</v>
      </c>
      <c r="F45" s="26">
        <v>3</v>
      </c>
      <c r="G45" s="26">
        <v>2</v>
      </c>
      <c r="H45" s="27">
        <v>2694</v>
      </c>
      <c r="I45" s="26" t="b">
        <v>0</v>
      </c>
      <c r="J45" s="26" t="b">
        <v>0</v>
      </c>
    </row>
    <row r="46" spans="1:10" ht="14.25" customHeight="1" x14ac:dyDescent="0.3">
      <c r="A46" s="26" t="s">
        <v>50</v>
      </c>
      <c r="B46" s="29" t="s">
        <v>48</v>
      </c>
      <c r="C46" s="30">
        <v>44841</v>
      </c>
      <c r="D46" s="29"/>
      <c r="E46" s="28">
        <v>243000</v>
      </c>
      <c r="F46" s="26">
        <v>4</v>
      </c>
      <c r="G46" s="26">
        <v>2.5</v>
      </c>
      <c r="H46" s="27">
        <v>1914</v>
      </c>
      <c r="I46" s="26" t="b">
        <v>0</v>
      </c>
      <c r="J46" s="26" t="b">
        <v>0</v>
      </c>
    </row>
    <row r="47" spans="1:10" ht="14.25" customHeight="1" x14ac:dyDescent="0.3">
      <c r="A47" s="26" t="s">
        <v>50</v>
      </c>
      <c r="B47" s="29" t="s">
        <v>48</v>
      </c>
      <c r="C47" s="30">
        <v>44841</v>
      </c>
      <c r="D47" s="29"/>
      <c r="E47" s="28">
        <v>243000</v>
      </c>
      <c r="F47" s="26">
        <v>4</v>
      </c>
      <c r="G47" s="26">
        <v>2.5</v>
      </c>
      <c r="H47" s="27">
        <v>1914</v>
      </c>
      <c r="I47" s="26" t="b">
        <v>0</v>
      </c>
      <c r="J47" s="26" t="b">
        <v>0</v>
      </c>
    </row>
    <row r="48" spans="1:10" ht="14.25" customHeight="1" x14ac:dyDescent="0.3">
      <c r="A48" s="26" t="s">
        <v>49</v>
      </c>
      <c r="B48" s="29" t="s">
        <v>48</v>
      </c>
      <c r="C48" s="30">
        <v>44883</v>
      </c>
      <c r="D48" s="29">
        <v>45304</v>
      </c>
      <c r="E48" s="28">
        <v>375000</v>
      </c>
      <c r="F48" s="26">
        <v>4</v>
      </c>
      <c r="G48" s="26">
        <v>3</v>
      </c>
      <c r="H48" s="27">
        <v>2368</v>
      </c>
      <c r="I48" s="26" t="b">
        <v>1</v>
      </c>
      <c r="J48" s="26" t="b">
        <v>1</v>
      </c>
    </row>
    <row r="49" spans="2:10" ht="14.25" customHeight="1" x14ac:dyDescent="0.3">
      <c r="B49" s="2"/>
      <c r="C49" s="2"/>
      <c r="D49" s="2"/>
      <c r="E49" s="2"/>
      <c r="F49" s="2"/>
      <c r="G49" s="2"/>
      <c r="H49" s="2"/>
      <c r="I49" s="2"/>
      <c r="J49" s="2"/>
    </row>
    <row r="50" spans="2:10" ht="14.25" customHeight="1" x14ac:dyDescent="0.3">
      <c r="B50" s="2"/>
      <c r="C50" s="2"/>
      <c r="D50" s="2"/>
      <c r="E50" s="2"/>
      <c r="F50" s="2"/>
      <c r="G50" s="2"/>
      <c r="H50" s="2"/>
      <c r="I50" s="2"/>
      <c r="J50" s="2"/>
    </row>
    <row r="51" spans="2:10" ht="14.25" customHeight="1" x14ac:dyDescent="0.3">
      <c r="B51" s="2"/>
      <c r="C51" s="2"/>
      <c r="D51" s="2"/>
      <c r="E51" s="2"/>
      <c r="F51" s="2"/>
      <c r="G51" s="2"/>
      <c r="H51" s="2"/>
      <c r="I51" s="2"/>
      <c r="J51" s="2"/>
    </row>
    <row r="52" spans="2:10" ht="14.25" customHeight="1" x14ac:dyDescent="0.3">
      <c r="B52" s="2"/>
      <c r="C52" s="2"/>
      <c r="D52" s="2"/>
      <c r="E52" s="2"/>
      <c r="F52" s="2"/>
      <c r="G52" s="2"/>
      <c r="H52" s="2"/>
      <c r="I52" s="2"/>
      <c r="J52" s="2"/>
    </row>
    <row r="53" spans="2:10" ht="14.25" customHeight="1" x14ac:dyDescent="0.3">
      <c r="B53" s="2"/>
      <c r="C53" s="2"/>
      <c r="D53" s="2"/>
      <c r="E53" s="2"/>
      <c r="F53" s="2"/>
      <c r="G53" s="2"/>
      <c r="H53" s="2"/>
      <c r="I53" s="2"/>
      <c r="J53" s="2"/>
    </row>
    <row r="54" spans="2:10" ht="14.25" customHeight="1" x14ac:dyDescent="0.3">
      <c r="B54" s="2"/>
      <c r="C54" s="2"/>
      <c r="D54" s="2"/>
      <c r="E54" s="2"/>
      <c r="F54" s="2"/>
      <c r="G54" s="2"/>
      <c r="H54" s="2"/>
      <c r="I54" s="2"/>
      <c r="J54" s="2"/>
    </row>
    <row r="55" spans="2:10" ht="14.25" customHeight="1" x14ac:dyDescent="0.3">
      <c r="B55" s="2"/>
      <c r="C55" s="2"/>
      <c r="D55" s="2"/>
      <c r="E55" s="2"/>
      <c r="F55" s="2"/>
      <c r="G55" s="2"/>
      <c r="H55" s="2"/>
      <c r="I55" s="2"/>
      <c r="J55" s="2"/>
    </row>
    <row r="56" spans="2:10" ht="14.25" customHeight="1" x14ac:dyDescent="0.3">
      <c r="B56" s="2"/>
      <c r="C56" s="2"/>
      <c r="D56" s="2"/>
      <c r="E56" s="2"/>
      <c r="F56" s="2"/>
      <c r="G56" s="2"/>
      <c r="H56" s="2"/>
      <c r="I56" s="2"/>
      <c r="J56" s="2"/>
    </row>
    <row r="57" spans="2:10" ht="14.25" customHeight="1" x14ac:dyDescent="0.3">
      <c r="B57" s="2"/>
      <c r="C57" s="2"/>
      <c r="D57" s="2"/>
      <c r="E57" s="2"/>
      <c r="F57" s="2"/>
      <c r="G57" s="2"/>
      <c r="H57" s="2"/>
      <c r="I57" s="2"/>
      <c r="J57" s="2"/>
    </row>
    <row r="58" spans="2:10" ht="14.25" customHeight="1" x14ac:dyDescent="0.3">
      <c r="B58" s="2"/>
      <c r="C58" s="2"/>
      <c r="D58" s="2"/>
      <c r="E58" s="2"/>
      <c r="F58" s="2"/>
      <c r="G58" s="2"/>
      <c r="H58" s="2"/>
      <c r="I58" s="2"/>
      <c r="J58" s="2"/>
    </row>
    <row r="59" spans="2:10" ht="14.25" customHeight="1" x14ac:dyDescent="0.3">
      <c r="B59" s="2"/>
      <c r="C59" s="2"/>
      <c r="D59" s="2"/>
      <c r="E59" s="2"/>
      <c r="F59" s="2"/>
      <c r="G59" s="2"/>
      <c r="H59" s="2"/>
      <c r="I59" s="2"/>
      <c r="J59" s="2"/>
    </row>
    <row r="60" spans="2:10" ht="14.25" customHeight="1" x14ac:dyDescent="0.3">
      <c r="B60" s="2"/>
      <c r="C60" s="2"/>
      <c r="D60" s="2"/>
      <c r="E60" s="2"/>
      <c r="F60" s="2"/>
      <c r="G60" s="2"/>
      <c r="H60" s="2"/>
      <c r="I60" s="2"/>
      <c r="J60" s="2"/>
    </row>
    <row r="61" spans="2:10" ht="14.25" customHeight="1" x14ac:dyDescent="0.3">
      <c r="B61" s="2"/>
      <c r="C61" s="2"/>
      <c r="D61" s="2"/>
      <c r="E61" s="2"/>
      <c r="F61" s="2"/>
      <c r="G61" s="2"/>
      <c r="H61" s="2"/>
      <c r="I61" s="2"/>
      <c r="J61" s="2"/>
    </row>
    <row r="62" spans="2:10" ht="14.25" customHeight="1" x14ac:dyDescent="0.3">
      <c r="B62" s="2"/>
      <c r="C62" s="2"/>
      <c r="D62" s="2"/>
      <c r="E62" s="2"/>
      <c r="F62" s="2"/>
      <c r="G62" s="2"/>
      <c r="H62" s="2"/>
      <c r="I62" s="2"/>
      <c r="J62" s="2"/>
    </row>
    <row r="63" spans="2:10" ht="14.25" customHeight="1" x14ac:dyDescent="0.3">
      <c r="B63" s="2"/>
      <c r="C63" s="2"/>
      <c r="D63" s="2"/>
      <c r="E63" s="2"/>
      <c r="F63" s="2"/>
      <c r="G63" s="2"/>
      <c r="H63" s="2"/>
      <c r="I63" s="2"/>
      <c r="J63" s="2"/>
    </row>
    <row r="64" spans="2:10" ht="14.25" customHeight="1" x14ac:dyDescent="0.3">
      <c r="B64" s="2"/>
      <c r="C64" s="2"/>
      <c r="D64" s="2"/>
      <c r="E64" s="2"/>
      <c r="F64" s="2"/>
      <c r="G64" s="2"/>
      <c r="H64" s="2"/>
      <c r="I64" s="2"/>
      <c r="J64" s="2"/>
    </row>
    <row r="65" spans="2:10" ht="14.25" customHeight="1" x14ac:dyDescent="0.3">
      <c r="B65" s="2"/>
      <c r="C65" s="2"/>
      <c r="D65" s="2"/>
      <c r="E65" s="2"/>
      <c r="F65" s="2"/>
      <c r="G65" s="2"/>
      <c r="H65" s="2"/>
      <c r="I65" s="2"/>
      <c r="J65" s="2"/>
    </row>
    <row r="66" spans="2:10" ht="14.25" customHeight="1" x14ac:dyDescent="0.3">
      <c r="B66" s="2"/>
      <c r="C66" s="2"/>
      <c r="D66" s="2"/>
      <c r="E66" s="2"/>
      <c r="F66" s="2"/>
      <c r="G66" s="2"/>
      <c r="H66" s="2"/>
      <c r="I66" s="2"/>
      <c r="J66" s="2"/>
    </row>
    <row r="67" spans="2:10" ht="14.25" customHeight="1" x14ac:dyDescent="0.3">
      <c r="B67" s="2"/>
      <c r="C67" s="2"/>
      <c r="D67" s="2"/>
      <c r="E67" s="2"/>
      <c r="F67" s="2"/>
      <c r="G67" s="2"/>
      <c r="H67" s="2"/>
      <c r="I67" s="2"/>
      <c r="J67" s="2"/>
    </row>
    <row r="68" spans="2:10" ht="14.25" customHeight="1" x14ac:dyDescent="0.3">
      <c r="B68" s="2"/>
      <c r="C68" s="2"/>
      <c r="D68" s="2"/>
      <c r="E68" s="2"/>
      <c r="F68" s="2"/>
      <c r="G68" s="2"/>
      <c r="H68" s="2"/>
      <c r="I68" s="2"/>
      <c r="J68" s="2"/>
    </row>
    <row r="69" spans="2:10" ht="14.25" customHeight="1" x14ac:dyDescent="0.3">
      <c r="B69" s="2"/>
      <c r="C69" s="2"/>
      <c r="D69" s="2"/>
      <c r="E69" s="2"/>
      <c r="F69" s="2"/>
      <c r="G69" s="2"/>
      <c r="H69" s="2"/>
      <c r="I69" s="2"/>
      <c r="J69" s="2"/>
    </row>
    <row r="70" spans="2:10" ht="14.25" customHeight="1" x14ac:dyDescent="0.3">
      <c r="B70" s="2"/>
      <c r="C70" s="2"/>
      <c r="D70" s="2"/>
      <c r="E70" s="2"/>
      <c r="F70" s="2"/>
      <c r="G70" s="2"/>
      <c r="H70" s="2"/>
      <c r="I70" s="2"/>
      <c r="J70" s="2"/>
    </row>
    <row r="71" spans="2:10" ht="14.25" customHeight="1" x14ac:dyDescent="0.3">
      <c r="B71" s="2"/>
      <c r="C71" s="2"/>
      <c r="D71" s="2"/>
      <c r="E71" s="2"/>
      <c r="F71" s="2"/>
      <c r="G71" s="2"/>
      <c r="H71" s="2"/>
      <c r="I71" s="2"/>
      <c r="J71" s="2"/>
    </row>
    <row r="72" spans="2:10" ht="14.25" customHeight="1" x14ac:dyDescent="0.3">
      <c r="B72" s="2"/>
      <c r="C72" s="2"/>
      <c r="D72" s="2"/>
      <c r="E72" s="2"/>
      <c r="F72" s="2"/>
      <c r="G72" s="2"/>
      <c r="H72" s="2"/>
      <c r="I72" s="2"/>
      <c r="J72" s="2"/>
    </row>
    <row r="73" spans="2:10" ht="14.25" customHeight="1" x14ac:dyDescent="0.3">
      <c r="B73" s="2"/>
      <c r="C73" s="2"/>
      <c r="D73" s="2"/>
      <c r="E73" s="2"/>
      <c r="F73" s="2"/>
      <c r="G73" s="2"/>
      <c r="H73" s="2"/>
      <c r="I73" s="2"/>
      <c r="J73" s="2"/>
    </row>
    <row r="74" spans="2:10" ht="14.25" customHeight="1" x14ac:dyDescent="0.3">
      <c r="B74" s="2"/>
      <c r="C74" s="2"/>
      <c r="D74" s="2"/>
      <c r="E74" s="2"/>
      <c r="F74" s="2"/>
      <c r="G74" s="2"/>
      <c r="H74" s="2"/>
      <c r="I74" s="2"/>
      <c r="J74" s="2"/>
    </row>
    <row r="75" spans="2:10" ht="14.25" customHeight="1" x14ac:dyDescent="0.3">
      <c r="B75" s="2"/>
      <c r="C75" s="2"/>
      <c r="D75" s="2"/>
      <c r="E75" s="2"/>
      <c r="F75" s="2"/>
      <c r="G75" s="2"/>
      <c r="H75" s="2"/>
      <c r="I75" s="2"/>
      <c r="J75" s="2"/>
    </row>
    <row r="76" spans="2:10" ht="14.25" customHeight="1" x14ac:dyDescent="0.3">
      <c r="B76" s="2"/>
      <c r="C76" s="2"/>
      <c r="D76" s="2"/>
      <c r="E76" s="2"/>
      <c r="F76" s="2"/>
      <c r="G76" s="2"/>
      <c r="H76" s="2"/>
      <c r="I76" s="2"/>
      <c r="J76" s="2"/>
    </row>
    <row r="77" spans="2:10" ht="14.25" customHeight="1" x14ac:dyDescent="0.3">
      <c r="B77" s="2"/>
      <c r="C77" s="2"/>
      <c r="D77" s="2"/>
      <c r="E77" s="2"/>
      <c r="F77" s="2"/>
      <c r="G77" s="2"/>
      <c r="H77" s="2"/>
      <c r="I77" s="2"/>
      <c r="J77" s="2"/>
    </row>
    <row r="78" spans="2:10" ht="14.25" customHeight="1" x14ac:dyDescent="0.3">
      <c r="B78" s="2"/>
      <c r="C78" s="2"/>
      <c r="D78" s="2"/>
      <c r="E78" s="2"/>
      <c r="F78" s="2"/>
      <c r="G78" s="2"/>
      <c r="H78" s="2"/>
      <c r="I78" s="2"/>
      <c r="J78" s="2"/>
    </row>
    <row r="79" spans="2:10" ht="14.25" customHeight="1" x14ac:dyDescent="0.3">
      <c r="B79" s="2"/>
      <c r="C79" s="2"/>
      <c r="D79" s="2"/>
      <c r="E79" s="2"/>
      <c r="F79" s="2"/>
      <c r="G79" s="2"/>
      <c r="H79" s="2"/>
      <c r="I79" s="2"/>
      <c r="J79" s="2"/>
    </row>
    <row r="80" spans="2:10" ht="14.25" customHeight="1" x14ac:dyDescent="0.3">
      <c r="B80" s="2"/>
      <c r="C80" s="2"/>
      <c r="D80" s="2"/>
      <c r="E80" s="2"/>
      <c r="F80" s="2"/>
      <c r="G80" s="2"/>
      <c r="H80" s="2"/>
      <c r="I80" s="2"/>
      <c r="J80" s="2"/>
    </row>
    <row r="81" spans="2:10" ht="14.25" customHeight="1" x14ac:dyDescent="0.3">
      <c r="B81" s="2"/>
      <c r="C81" s="2"/>
      <c r="D81" s="2"/>
      <c r="E81" s="2"/>
      <c r="F81" s="2"/>
      <c r="G81" s="2"/>
      <c r="H81" s="2"/>
      <c r="I81" s="2"/>
      <c r="J81" s="2"/>
    </row>
    <row r="82" spans="2:10" ht="14.25" customHeight="1" x14ac:dyDescent="0.3">
      <c r="B82" s="2"/>
      <c r="C82" s="2"/>
      <c r="D82" s="2"/>
      <c r="E82" s="2"/>
      <c r="F82" s="2"/>
      <c r="G82" s="2"/>
      <c r="H82" s="2"/>
      <c r="I82" s="2"/>
      <c r="J82" s="2"/>
    </row>
    <row r="83" spans="2:10" ht="14.25" customHeight="1" x14ac:dyDescent="0.3">
      <c r="B83" s="2"/>
      <c r="C83" s="2"/>
      <c r="D83" s="2"/>
      <c r="E83" s="2"/>
      <c r="F83" s="2"/>
      <c r="G83" s="2"/>
      <c r="H83" s="2"/>
      <c r="I83" s="2"/>
      <c r="J83" s="2"/>
    </row>
    <row r="84" spans="2:10" ht="14.25" customHeight="1" x14ac:dyDescent="0.3">
      <c r="B84" s="2"/>
      <c r="C84" s="2"/>
      <c r="D84" s="2"/>
      <c r="E84" s="2"/>
      <c r="F84" s="2"/>
      <c r="G84" s="2"/>
      <c r="H84" s="2"/>
      <c r="I84" s="2"/>
      <c r="J84" s="2"/>
    </row>
    <row r="85" spans="2:10" ht="14.25" customHeight="1" x14ac:dyDescent="0.3">
      <c r="B85" s="2"/>
      <c r="C85" s="2"/>
      <c r="D85" s="2"/>
      <c r="E85" s="2"/>
      <c r="F85" s="2"/>
      <c r="G85" s="2"/>
      <c r="H85" s="2"/>
      <c r="I85" s="2"/>
      <c r="J85" s="2"/>
    </row>
    <row r="86" spans="2:10" ht="14.25" customHeight="1" x14ac:dyDescent="0.3">
      <c r="B86" s="2"/>
      <c r="C86" s="2"/>
      <c r="D86" s="2"/>
      <c r="E86" s="2"/>
      <c r="F86" s="2"/>
      <c r="G86" s="2"/>
      <c r="H86" s="2"/>
      <c r="I86" s="2"/>
      <c r="J86" s="2"/>
    </row>
    <row r="87" spans="2:10" ht="14.25" customHeight="1" x14ac:dyDescent="0.3">
      <c r="B87" s="2"/>
      <c r="C87" s="2"/>
      <c r="D87" s="2"/>
      <c r="E87" s="2"/>
      <c r="F87" s="2"/>
      <c r="G87" s="2"/>
      <c r="H87" s="2"/>
      <c r="I87" s="2"/>
      <c r="J87" s="2"/>
    </row>
    <row r="88" spans="2:10" ht="14.25" customHeight="1" x14ac:dyDescent="0.3">
      <c r="B88" s="2"/>
      <c r="C88" s="2"/>
      <c r="D88" s="2"/>
      <c r="E88" s="2"/>
      <c r="F88" s="2"/>
      <c r="G88" s="2"/>
      <c r="H88" s="2"/>
      <c r="I88" s="2"/>
      <c r="J88" s="2"/>
    </row>
    <row r="89" spans="2:10" ht="14.25" customHeight="1" x14ac:dyDescent="0.3">
      <c r="B89" s="2"/>
      <c r="C89" s="2"/>
      <c r="D89" s="2"/>
      <c r="E89" s="2"/>
      <c r="F89" s="2"/>
      <c r="G89" s="2"/>
      <c r="H89" s="2"/>
      <c r="I89" s="2"/>
      <c r="J89" s="2"/>
    </row>
    <row r="90" spans="2:10" ht="14.25" customHeight="1" x14ac:dyDescent="0.3">
      <c r="B90" s="2"/>
      <c r="C90" s="2"/>
      <c r="D90" s="2"/>
      <c r="E90" s="2"/>
      <c r="F90" s="2"/>
      <c r="G90" s="2"/>
      <c r="H90" s="2"/>
      <c r="I90" s="2"/>
      <c r="J90" s="2"/>
    </row>
    <row r="91" spans="2:10" ht="14.25" customHeight="1" x14ac:dyDescent="0.3">
      <c r="B91" s="2"/>
      <c r="C91" s="2"/>
      <c r="D91" s="2"/>
      <c r="E91" s="2"/>
      <c r="F91" s="2"/>
      <c r="G91" s="2"/>
      <c r="H91" s="2"/>
      <c r="I91" s="2"/>
      <c r="J91" s="2"/>
    </row>
    <row r="92" spans="2:10" ht="14.25" customHeight="1" x14ac:dyDescent="0.3">
      <c r="B92" s="2"/>
      <c r="C92" s="2"/>
      <c r="D92" s="2"/>
      <c r="E92" s="2"/>
      <c r="F92" s="2"/>
      <c r="G92" s="2"/>
      <c r="H92" s="2"/>
      <c r="I92" s="2"/>
      <c r="J92" s="2"/>
    </row>
    <row r="93" spans="2:10" ht="14.25" customHeight="1" x14ac:dyDescent="0.3">
      <c r="B93" s="2"/>
      <c r="C93" s="2"/>
      <c r="D93" s="2"/>
      <c r="E93" s="2"/>
      <c r="F93" s="2"/>
      <c r="G93" s="2"/>
      <c r="H93" s="2"/>
      <c r="I93" s="2"/>
      <c r="J93" s="2"/>
    </row>
    <row r="94" spans="2:10" ht="14.25" customHeight="1" x14ac:dyDescent="0.3">
      <c r="B94" s="2"/>
      <c r="C94" s="2"/>
      <c r="D94" s="2"/>
      <c r="E94" s="2"/>
      <c r="F94" s="2"/>
      <c r="G94" s="2"/>
      <c r="H94" s="2"/>
      <c r="I94" s="2"/>
      <c r="J94" s="2"/>
    </row>
    <row r="95" spans="2:10" ht="14.25" customHeight="1" x14ac:dyDescent="0.3">
      <c r="B95" s="2"/>
      <c r="C95" s="2"/>
      <c r="D95" s="2"/>
      <c r="E95" s="2"/>
      <c r="F95" s="2"/>
      <c r="G95" s="2"/>
      <c r="H95" s="2"/>
      <c r="I95" s="2"/>
      <c r="J95" s="2"/>
    </row>
    <row r="96" spans="2:10" ht="14.25" customHeight="1" x14ac:dyDescent="0.3">
      <c r="B96" s="2"/>
      <c r="C96" s="2"/>
      <c r="D96" s="2"/>
      <c r="E96" s="2"/>
      <c r="F96" s="2"/>
      <c r="G96" s="2"/>
      <c r="H96" s="2"/>
      <c r="I96" s="2"/>
      <c r="J96" s="2"/>
    </row>
    <row r="97" spans="2:10" ht="14.25" customHeight="1" x14ac:dyDescent="0.3">
      <c r="B97" s="2"/>
      <c r="C97" s="2"/>
      <c r="D97" s="2"/>
      <c r="E97" s="2"/>
      <c r="F97" s="2"/>
      <c r="G97" s="2"/>
      <c r="H97" s="2"/>
      <c r="I97" s="2"/>
      <c r="J97" s="2"/>
    </row>
    <row r="98" spans="2:10" ht="14.25" customHeight="1" x14ac:dyDescent="0.3">
      <c r="B98" s="2"/>
      <c r="C98" s="2"/>
      <c r="D98" s="2"/>
      <c r="E98" s="2"/>
      <c r="F98" s="2"/>
      <c r="G98" s="2"/>
      <c r="H98" s="2"/>
      <c r="I98" s="2"/>
      <c r="J98" s="2"/>
    </row>
    <row r="99" spans="2:10" ht="14.25" customHeight="1" x14ac:dyDescent="0.3">
      <c r="B99" s="2"/>
      <c r="C99" s="2"/>
      <c r="D99" s="2"/>
      <c r="E99" s="2"/>
      <c r="F99" s="2"/>
      <c r="G99" s="2"/>
      <c r="H99" s="2"/>
      <c r="I99" s="2"/>
      <c r="J99" s="2"/>
    </row>
    <row r="100" spans="2:10" ht="14.25" customHeight="1" x14ac:dyDescent="0.3">
      <c r="B100" s="2"/>
      <c r="C100" s="2"/>
      <c r="D100" s="2"/>
      <c r="E100" s="2"/>
      <c r="F100" s="2"/>
      <c r="G100" s="2"/>
      <c r="H100" s="2"/>
      <c r="I100" s="2"/>
      <c r="J100" s="2"/>
    </row>
    <row r="101" spans="2:10" ht="14.25" customHeight="1" x14ac:dyDescent="0.3">
      <c r="B101" s="2"/>
      <c r="C101" s="2"/>
      <c r="D101" s="2"/>
      <c r="E101" s="2"/>
      <c r="F101" s="2"/>
      <c r="G101" s="2"/>
      <c r="H101" s="2"/>
      <c r="I101" s="2"/>
      <c r="J101" s="2"/>
    </row>
    <row r="102" spans="2:10" ht="14.25" customHeight="1" x14ac:dyDescent="0.3">
      <c r="B102" s="2"/>
      <c r="C102" s="2"/>
      <c r="D102" s="2"/>
      <c r="E102" s="2"/>
      <c r="F102" s="2"/>
      <c r="G102" s="2"/>
      <c r="H102" s="2"/>
      <c r="I102" s="2"/>
      <c r="J102" s="2"/>
    </row>
    <row r="103" spans="2:10" ht="14.25" customHeight="1" x14ac:dyDescent="0.3">
      <c r="B103" s="2"/>
      <c r="C103" s="2"/>
      <c r="D103" s="2"/>
      <c r="E103" s="2"/>
      <c r="F103" s="2"/>
      <c r="G103" s="2"/>
      <c r="H103" s="2"/>
      <c r="I103" s="2"/>
      <c r="J103" s="2"/>
    </row>
    <row r="104" spans="2:10" ht="14.25" customHeight="1" x14ac:dyDescent="0.3">
      <c r="B104" s="2"/>
      <c r="C104" s="2"/>
      <c r="D104" s="2"/>
      <c r="E104" s="2"/>
      <c r="F104" s="2"/>
      <c r="G104" s="2"/>
      <c r="H104" s="2"/>
      <c r="I104" s="2"/>
      <c r="J104" s="2"/>
    </row>
    <row r="105" spans="2:10" ht="14.25" customHeight="1" x14ac:dyDescent="0.3">
      <c r="B105" s="2"/>
      <c r="C105" s="2"/>
      <c r="D105" s="2"/>
      <c r="E105" s="2"/>
      <c r="F105" s="2"/>
      <c r="G105" s="2"/>
      <c r="H105" s="2"/>
      <c r="I105" s="2"/>
      <c r="J105" s="2"/>
    </row>
    <row r="106" spans="2:10" ht="14.25" customHeight="1" x14ac:dyDescent="0.3">
      <c r="B106" s="2"/>
      <c r="C106" s="2"/>
      <c r="D106" s="2"/>
      <c r="E106" s="2"/>
      <c r="F106" s="2"/>
      <c r="G106" s="2"/>
      <c r="H106" s="2"/>
      <c r="I106" s="2"/>
      <c r="J106" s="2"/>
    </row>
    <row r="107" spans="2:10" ht="14.25" customHeight="1" x14ac:dyDescent="0.3">
      <c r="B107" s="2"/>
      <c r="C107" s="2"/>
      <c r="D107" s="2"/>
      <c r="E107" s="2"/>
      <c r="F107" s="2"/>
      <c r="G107" s="2"/>
      <c r="H107" s="2"/>
      <c r="I107" s="2"/>
      <c r="J107" s="2"/>
    </row>
    <row r="108" spans="2:10" ht="14.25" customHeight="1" x14ac:dyDescent="0.3">
      <c r="B108" s="2"/>
      <c r="C108" s="2"/>
      <c r="D108" s="2"/>
      <c r="E108" s="2"/>
      <c r="F108" s="2"/>
      <c r="G108" s="2"/>
      <c r="H108" s="2"/>
      <c r="I108" s="2"/>
      <c r="J108" s="2"/>
    </row>
    <row r="109" spans="2:10" ht="14.25" customHeight="1" x14ac:dyDescent="0.3">
      <c r="B109" s="2"/>
      <c r="C109" s="2"/>
      <c r="D109" s="2"/>
      <c r="E109" s="2"/>
      <c r="F109" s="2"/>
      <c r="G109" s="2"/>
      <c r="H109" s="2"/>
      <c r="I109" s="2"/>
      <c r="J109" s="2"/>
    </row>
    <row r="110" spans="2:10" ht="14.25" customHeight="1" x14ac:dyDescent="0.3">
      <c r="B110" s="2"/>
      <c r="C110" s="2"/>
      <c r="D110" s="2"/>
      <c r="E110" s="2"/>
      <c r="F110" s="2"/>
      <c r="G110" s="2"/>
      <c r="H110" s="2"/>
      <c r="I110" s="2"/>
      <c r="J110" s="2"/>
    </row>
    <row r="111" spans="2:10" ht="14.25" customHeight="1" x14ac:dyDescent="0.3">
      <c r="B111" s="2"/>
      <c r="C111" s="2"/>
      <c r="D111" s="2"/>
      <c r="E111" s="2"/>
      <c r="F111" s="2"/>
      <c r="G111" s="2"/>
      <c r="H111" s="2"/>
      <c r="I111" s="2"/>
      <c r="J111" s="2"/>
    </row>
    <row r="112" spans="2:10" ht="14.25" customHeight="1" x14ac:dyDescent="0.3">
      <c r="B112" s="2"/>
      <c r="C112" s="2"/>
      <c r="D112" s="2"/>
      <c r="E112" s="2"/>
      <c r="F112" s="2"/>
      <c r="G112" s="2"/>
      <c r="H112" s="2"/>
      <c r="I112" s="2"/>
      <c r="J112" s="2"/>
    </row>
    <row r="113" spans="2:10" ht="14.25" customHeight="1" x14ac:dyDescent="0.3">
      <c r="B113" s="2"/>
      <c r="C113" s="2"/>
      <c r="D113" s="2"/>
      <c r="E113" s="2"/>
      <c r="F113" s="2"/>
      <c r="G113" s="2"/>
      <c r="H113" s="2"/>
      <c r="I113" s="2"/>
      <c r="J113" s="2"/>
    </row>
    <row r="114" spans="2:10" ht="14.25" customHeight="1" x14ac:dyDescent="0.3">
      <c r="B114" s="2"/>
      <c r="C114" s="2"/>
      <c r="D114" s="2"/>
      <c r="E114" s="2"/>
      <c r="F114" s="2"/>
      <c r="G114" s="2"/>
      <c r="H114" s="2"/>
      <c r="I114" s="2"/>
      <c r="J114" s="2"/>
    </row>
    <row r="115" spans="2:10" ht="14.25" customHeight="1" x14ac:dyDescent="0.3">
      <c r="B115" s="2"/>
      <c r="C115" s="2"/>
      <c r="D115" s="2"/>
      <c r="E115" s="2"/>
      <c r="F115" s="2"/>
      <c r="G115" s="2"/>
      <c r="H115" s="2"/>
      <c r="I115" s="2"/>
      <c r="J115" s="2"/>
    </row>
    <row r="116" spans="2:10" ht="14.25" customHeight="1" x14ac:dyDescent="0.3">
      <c r="B116" s="2"/>
      <c r="C116" s="2"/>
      <c r="D116" s="2"/>
      <c r="E116" s="2"/>
      <c r="F116" s="2"/>
      <c r="G116" s="2"/>
      <c r="H116" s="2"/>
      <c r="I116" s="2"/>
      <c r="J116" s="2"/>
    </row>
    <row r="117" spans="2:10" ht="14.25" customHeight="1" x14ac:dyDescent="0.3">
      <c r="B117" s="2"/>
      <c r="C117" s="2"/>
      <c r="D117" s="2"/>
      <c r="E117" s="2"/>
      <c r="F117" s="2"/>
      <c r="G117" s="2"/>
      <c r="H117" s="2"/>
      <c r="I117" s="2"/>
      <c r="J117" s="2"/>
    </row>
    <row r="118" spans="2:10" ht="14.25" customHeight="1" x14ac:dyDescent="0.3">
      <c r="B118" s="2"/>
      <c r="C118" s="2"/>
      <c r="D118" s="2"/>
      <c r="E118" s="2"/>
      <c r="F118" s="2"/>
      <c r="G118" s="2"/>
      <c r="H118" s="2"/>
      <c r="I118" s="2"/>
      <c r="J118" s="2"/>
    </row>
    <row r="119" spans="2:10" ht="14.25" customHeight="1" x14ac:dyDescent="0.3">
      <c r="B119" s="2"/>
      <c r="C119" s="2"/>
      <c r="D119" s="2"/>
      <c r="E119" s="2"/>
      <c r="F119" s="2"/>
      <c r="G119" s="2"/>
      <c r="H119" s="2"/>
      <c r="I119" s="2"/>
      <c r="J119" s="2"/>
    </row>
    <row r="120" spans="2:10" ht="14.25" customHeight="1" x14ac:dyDescent="0.3">
      <c r="B120" s="2"/>
      <c r="C120" s="2"/>
      <c r="D120" s="2"/>
      <c r="E120" s="2"/>
      <c r="F120" s="2"/>
      <c r="G120" s="2"/>
      <c r="H120" s="2"/>
      <c r="I120" s="2"/>
      <c r="J120" s="2"/>
    </row>
    <row r="121" spans="2:10" ht="14.25" customHeight="1" x14ac:dyDescent="0.3">
      <c r="B121" s="2"/>
      <c r="C121" s="2"/>
      <c r="D121" s="2"/>
      <c r="E121" s="2"/>
      <c r="F121" s="2"/>
      <c r="G121" s="2"/>
      <c r="H121" s="2"/>
      <c r="I121" s="2"/>
      <c r="J121" s="2"/>
    </row>
    <row r="122" spans="2:10" ht="14.25" customHeight="1" x14ac:dyDescent="0.3">
      <c r="B122" s="2"/>
      <c r="C122" s="2"/>
      <c r="D122" s="2"/>
      <c r="E122" s="2"/>
      <c r="F122" s="2"/>
      <c r="G122" s="2"/>
      <c r="H122" s="2"/>
      <c r="I122" s="2"/>
      <c r="J122" s="2"/>
    </row>
    <row r="123" spans="2:10" ht="14.25" customHeight="1" x14ac:dyDescent="0.3">
      <c r="B123" s="2"/>
      <c r="C123" s="2"/>
      <c r="D123" s="2"/>
      <c r="E123" s="2"/>
      <c r="F123" s="2"/>
      <c r="G123" s="2"/>
      <c r="H123" s="2"/>
      <c r="I123" s="2"/>
      <c r="J123" s="2"/>
    </row>
    <row r="124" spans="2:10" ht="14.25" customHeight="1" x14ac:dyDescent="0.3">
      <c r="B124" s="2"/>
      <c r="C124" s="2"/>
      <c r="D124" s="2"/>
      <c r="E124" s="2"/>
      <c r="F124" s="2"/>
      <c r="G124" s="2"/>
      <c r="H124" s="2"/>
      <c r="I124" s="2"/>
      <c r="J124" s="2"/>
    </row>
    <row r="125" spans="2:10" ht="14.25" customHeight="1" x14ac:dyDescent="0.3">
      <c r="B125" s="2"/>
      <c r="C125" s="2"/>
      <c r="D125" s="2"/>
      <c r="E125" s="2"/>
      <c r="F125" s="2"/>
      <c r="G125" s="2"/>
      <c r="H125" s="2"/>
      <c r="I125" s="2"/>
      <c r="J125" s="2"/>
    </row>
    <row r="126" spans="2:10" ht="14.25" customHeight="1" x14ac:dyDescent="0.3">
      <c r="B126" s="2"/>
      <c r="C126" s="2"/>
      <c r="D126" s="2"/>
      <c r="E126" s="2"/>
      <c r="F126" s="2"/>
      <c r="G126" s="2"/>
      <c r="H126" s="2"/>
      <c r="I126" s="2"/>
      <c r="J126" s="2"/>
    </row>
    <row r="127" spans="2:10" ht="14.25" customHeight="1" x14ac:dyDescent="0.3">
      <c r="B127" s="2"/>
      <c r="C127" s="2"/>
      <c r="D127" s="2"/>
      <c r="E127" s="2"/>
      <c r="F127" s="2"/>
      <c r="G127" s="2"/>
      <c r="H127" s="2"/>
      <c r="I127" s="2"/>
      <c r="J127" s="2"/>
    </row>
    <row r="128" spans="2:10" ht="14.25" customHeight="1" x14ac:dyDescent="0.3">
      <c r="B128" s="2"/>
      <c r="C128" s="2"/>
      <c r="D128" s="2"/>
      <c r="E128" s="2"/>
      <c r="F128" s="2"/>
      <c r="G128" s="2"/>
      <c r="H128" s="2"/>
      <c r="I128" s="2"/>
      <c r="J128" s="2"/>
    </row>
    <row r="129" spans="2:10" ht="14.25" customHeight="1" x14ac:dyDescent="0.3">
      <c r="B129" s="2"/>
      <c r="C129" s="2"/>
      <c r="D129" s="2"/>
      <c r="E129" s="2"/>
      <c r="F129" s="2"/>
      <c r="G129" s="2"/>
      <c r="H129" s="2"/>
      <c r="I129" s="2"/>
      <c r="J129" s="2"/>
    </row>
    <row r="130" spans="2:10" ht="14.25" customHeight="1" x14ac:dyDescent="0.3">
      <c r="B130" s="2"/>
      <c r="C130" s="2"/>
      <c r="D130" s="2"/>
      <c r="E130" s="2"/>
      <c r="F130" s="2"/>
      <c r="G130" s="2"/>
      <c r="H130" s="2"/>
      <c r="I130" s="2"/>
      <c r="J130" s="2"/>
    </row>
    <row r="131" spans="2:10" ht="14.25" customHeight="1" x14ac:dyDescent="0.3">
      <c r="B131" s="2"/>
      <c r="C131" s="2"/>
      <c r="D131" s="2"/>
      <c r="E131" s="2"/>
      <c r="F131" s="2"/>
      <c r="G131" s="2"/>
      <c r="H131" s="2"/>
      <c r="I131" s="2"/>
      <c r="J131" s="2"/>
    </row>
    <row r="132" spans="2:10" ht="14.25" customHeight="1" x14ac:dyDescent="0.3">
      <c r="B132" s="2"/>
      <c r="C132" s="2"/>
      <c r="D132" s="2"/>
      <c r="E132" s="2"/>
      <c r="F132" s="2"/>
      <c r="G132" s="2"/>
      <c r="H132" s="2"/>
      <c r="I132" s="2"/>
      <c r="J132" s="2"/>
    </row>
    <row r="133" spans="2:10" ht="14.25" customHeight="1" x14ac:dyDescent="0.3">
      <c r="B133" s="2"/>
      <c r="C133" s="2"/>
      <c r="D133" s="2"/>
      <c r="E133" s="2"/>
      <c r="F133" s="2"/>
      <c r="G133" s="2"/>
      <c r="H133" s="2"/>
      <c r="I133" s="2"/>
      <c r="J133" s="2"/>
    </row>
    <row r="134" spans="2:10" ht="14.25" customHeight="1" x14ac:dyDescent="0.3">
      <c r="B134" s="2"/>
      <c r="C134" s="2"/>
      <c r="D134" s="2"/>
      <c r="E134" s="2"/>
      <c r="F134" s="2"/>
      <c r="G134" s="2"/>
      <c r="H134" s="2"/>
      <c r="I134" s="2"/>
      <c r="J134" s="2"/>
    </row>
    <row r="135" spans="2:10" ht="14.25" customHeight="1" x14ac:dyDescent="0.3">
      <c r="B135" s="2"/>
      <c r="C135" s="2"/>
      <c r="D135" s="2"/>
      <c r="E135" s="2"/>
      <c r="F135" s="2"/>
      <c r="G135" s="2"/>
      <c r="H135" s="2"/>
      <c r="I135" s="2"/>
      <c r="J135" s="2"/>
    </row>
    <row r="136" spans="2:10" ht="14.25" customHeight="1" x14ac:dyDescent="0.3">
      <c r="B136" s="2"/>
      <c r="C136" s="2"/>
      <c r="D136" s="2"/>
      <c r="E136" s="2"/>
      <c r="F136" s="2"/>
      <c r="G136" s="2"/>
      <c r="H136" s="2"/>
      <c r="I136" s="2"/>
      <c r="J136" s="2"/>
    </row>
    <row r="137" spans="2:10" ht="14.25" customHeight="1" x14ac:dyDescent="0.3">
      <c r="B137" s="2"/>
      <c r="C137" s="2"/>
      <c r="D137" s="2"/>
      <c r="E137" s="2"/>
      <c r="F137" s="2"/>
      <c r="G137" s="2"/>
      <c r="H137" s="2"/>
      <c r="I137" s="2"/>
      <c r="J137" s="2"/>
    </row>
    <row r="138" spans="2:10" ht="14.25" customHeight="1" x14ac:dyDescent="0.3">
      <c r="B138" s="2"/>
      <c r="C138" s="2"/>
      <c r="D138" s="2"/>
      <c r="E138" s="2"/>
      <c r="F138" s="2"/>
      <c r="G138" s="2"/>
      <c r="H138" s="2"/>
      <c r="I138" s="2"/>
      <c r="J138" s="2"/>
    </row>
    <row r="139" spans="2:10" ht="14.25" customHeight="1" x14ac:dyDescent="0.3">
      <c r="B139" s="2"/>
      <c r="C139" s="2"/>
      <c r="D139" s="2"/>
      <c r="E139" s="2"/>
      <c r="F139" s="2"/>
      <c r="G139" s="2"/>
      <c r="H139" s="2"/>
      <c r="I139" s="2"/>
      <c r="J139" s="2"/>
    </row>
    <row r="140" spans="2:10" ht="14.25" customHeight="1" x14ac:dyDescent="0.3">
      <c r="B140" s="2"/>
      <c r="C140" s="2"/>
      <c r="D140" s="2"/>
      <c r="E140" s="2"/>
      <c r="F140" s="2"/>
      <c r="G140" s="2"/>
      <c r="H140" s="2"/>
      <c r="I140" s="2"/>
      <c r="J140" s="2"/>
    </row>
    <row r="141" spans="2:10" ht="14.25" customHeight="1" x14ac:dyDescent="0.3">
      <c r="B141" s="2"/>
      <c r="C141" s="2"/>
      <c r="D141" s="2"/>
      <c r="E141" s="2"/>
      <c r="F141" s="2"/>
      <c r="G141" s="2"/>
      <c r="H141" s="2"/>
      <c r="I141" s="2"/>
      <c r="J141" s="2"/>
    </row>
    <row r="142" spans="2:10" ht="14.25" customHeight="1" x14ac:dyDescent="0.3">
      <c r="B142" s="2"/>
      <c r="C142" s="2"/>
      <c r="D142" s="2"/>
      <c r="E142" s="2"/>
      <c r="F142" s="2"/>
      <c r="G142" s="2"/>
      <c r="H142" s="2"/>
      <c r="I142" s="2"/>
      <c r="J142" s="2"/>
    </row>
    <row r="143" spans="2:10" ht="14.25" customHeight="1" x14ac:dyDescent="0.3">
      <c r="B143" s="2"/>
      <c r="C143" s="2"/>
      <c r="D143" s="2"/>
      <c r="E143" s="2"/>
      <c r="F143" s="2"/>
      <c r="G143" s="2"/>
      <c r="H143" s="2"/>
      <c r="I143" s="2"/>
      <c r="J143" s="2"/>
    </row>
    <row r="144" spans="2:10" ht="14.25" customHeight="1" x14ac:dyDescent="0.3">
      <c r="B144" s="2"/>
      <c r="C144" s="2"/>
      <c r="D144" s="2"/>
      <c r="E144" s="2"/>
      <c r="F144" s="2"/>
      <c r="G144" s="2"/>
      <c r="H144" s="2"/>
      <c r="I144" s="2"/>
      <c r="J144" s="2"/>
    </row>
    <row r="145" spans="2:10" ht="14.25" customHeight="1" x14ac:dyDescent="0.3">
      <c r="B145" s="2"/>
      <c r="C145" s="2"/>
      <c r="D145" s="2"/>
      <c r="E145" s="2"/>
      <c r="F145" s="2"/>
      <c r="G145" s="2"/>
      <c r="H145" s="2"/>
      <c r="I145" s="2"/>
      <c r="J145" s="2"/>
    </row>
    <row r="146" spans="2:10" ht="14.25" customHeight="1" x14ac:dyDescent="0.3">
      <c r="B146" s="2"/>
      <c r="C146" s="2"/>
      <c r="D146" s="2"/>
      <c r="E146" s="2"/>
      <c r="F146" s="2"/>
      <c r="G146" s="2"/>
      <c r="H146" s="2"/>
      <c r="I146" s="2"/>
      <c r="J146" s="2"/>
    </row>
    <row r="147" spans="2:10" ht="14.25" customHeight="1" x14ac:dyDescent="0.3">
      <c r="B147" s="2"/>
      <c r="C147" s="2"/>
      <c r="D147" s="2"/>
      <c r="E147" s="2"/>
      <c r="F147" s="2"/>
      <c r="G147" s="2"/>
      <c r="H147" s="2"/>
      <c r="I147" s="2"/>
      <c r="J147" s="2"/>
    </row>
    <row r="148" spans="2:10" ht="14.25" customHeight="1" x14ac:dyDescent="0.3">
      <c r="B148" s="2"/>
      <c r="C148" s="2"/>
      <c r="D148" s="2"/>
      <c r="E148" s="2"/>
      <c r="F148" s="2"/>
      <c r="G148" s="2"/>
      <c r="H148" s="2"/>
      <c r="I148" s="2"/>
      <c r="J148" s="2"/>
    </row>
    <row r="149" spans="2:10" ht="14.25" customHeight="1" x14ac:dyDescent="0.3">
      <c r="B149" s="2"/>
      <c r="C149" s="2"/>
      <c r="D149" s="2"/>
      <c r="E149" s="2"/>
      <c r="F149" s="2"/>
      <c r="G149" s="2"/>
      <c r="H149" s="2"/>
      <c r="I149" s="2"/>
      <c r="J149" s="2"/>
    </row>
    <row r="150" spans="2:10" ht="14.25" customHeight="1" x14ac:dyDescent="0.3">
      <c r="B150" s="2"/>
      <c r="C150" s="2"/>
      <c r="D150" s="2"/>
      <c r="E150" s="2"/>
      <c r="F150" s="2"/>
      <c r="G150" s="2"/>
      <c r="H150" s="2"/>
      <c r="I150" s="2"/>
      <c r="J150" s="2"/>
    </row>
    <row r="151" spans="2:10" ht="14.25" customHeight="1" x14ac:dyDescent="0.3">
      <c r="B151" s="2"/>
      <c r="C151" s="2"/>
      <c r="D151" s="2"/>
      <c r="E151" s="2"/>
      <c r="F151" s="2"/>
      <c r="G151" s="2"/>
      <c r="H151" s="2"/>
      <c r="I151" s="2"/>
      <c r="J151" s="2"/>
    </row>
    <row r="152" spans="2:10" ht="14.25" customHeight="1" x14ac:dyDescent="0.3">
      <c r="B152" s="2"/>
      <c r="C152" s="2"/>
      <c r="D152" s="2"/>
      <c r="E152" s="2"/>
      <c r="F152" s="2"/>
      <c r="G152" s="2"/>
      <c r="H152" s="2"/>
      <c r="I152" s="2"/>
      <c r="J152" s="2"/>
    </row>
    <row r="153" spans="2:10" ht="14.25" customHeight="1" x14ac:dyDescent="0.3">
      <c r="B153" s="2"/>
      <c r="C153" s="2"/>
      <c r="D153" s="2"/>
      <c r="E153" s="2"/>
      <c r="F153" s="2"/>
      <c r="G153" s="2"/>
      <c r="H153" s="2"/>
      <c r="I153" s="2"/>
      <c r="J153" s="2"/>
    </row>
    <row r="154" spans="2:10" ht="14.25" customHeight="1" x14ac:dyDescent="0.3">
      <c r="B154" s="2"/>
      <c r="C154" s="2"/>
      <c r="D154" s="2"/>
      <c r="E154" s="2"/>
      <c r="F154" s="2"/>
      <c r="G154" s="2"/>
      <c r="H154" s="2"/>
      <c r="I154" s="2"/>
      <c r="J154" s="2"/>
    </row>
    <row r="155" spans="2:10" ht="14.25" customHeight="1" x14ac:dyDescent="0.3">
      <c r="B155" s="2"/>
      <c r="C155" s="2"/>
      <c r="D155" s="2"/>
      <c r="E155" s="2"/>
      <c r="F155" s="2"/>
      <c r="G155" s="2"/>
      <c r="H155" s="2"/>
      <c r="I155" s="2"/>
      <c r="J155" s="2"/>
    </row>
    <row r="156" spans="2:10" ht="14.25" customHeight="1" x14ac:dyDescent="0.3">
      <c r="B156" s="2"/>
      <c r="C156" s="2"/>
      <c r="D156" s="2"/>
      <c r="E156" s="2"/>
      <c r="F156" s="2"/>
      <c r="G156" s="2"/>
      <c r="H156" s="2"/>
      <c r="I156" s="2"/>
      <c r="J156" s="2"/>
    </row>
    <row r="157" spans="2:10" ht="14.25" customHeight="1" x14ac:dyDescent="0.3">
      <c r="B157" s="2"/>
      <c r="C157" s="2"/>
      <c r="D157" s="2"/>
      <c r="E157" s="2"/>
      <c r="F157" s="2"/>
      <c r="G157" s="2"/>
      <c r="H157" s="2"/>
      <c r="I157" s="2"/>
      <c r="J157" s="2"/>
    </row>
    <row r="158" spans="2:10" ht="14.25" customHeight="1" x14ac:dyDescent="0.3">
      <c r="B158" s="2"/>
      <c r="C158" s="2"/>
      <c r="D158" s="2"/>
      <c r="E158" s="2"/>
      <c r="F158" s="2"/>
      <c r="G158" s="2"/>
      <c r="H158" s="2"/>
      <c r="I158" s="2"/>
      <c r="J158" s="2"/>
    </row>
    <row r="159" spans="2:10" ht="14.25" customHeight="1" x14ac:dyDescent="0.3">
      <c r="B159" s="2"/>
      <c r="C159" s="2"/>
      <c r="D159" s="2"/>
      <c r="E159" s="2"/>
      <c r="F159" s="2"/>
      <c r="G159" s="2"/>
      <c r="H159" s="2"/>
      <c r="I159" s="2"/>
      <c r="J159" s="2"/>
    </row>
    <row r="160" spans="2:10" ht="14.25" customHeight="1" x14ac:dyDescent="0.3">
      <c r="B160" s="2"/>
      <c r="C160" s="2"/>
      <c r="D160" s="2"/>
      <c r="E160" s="2"/>
      <c r="F160" s="2"/>
      <c r="G160" s="2"/>
      <c r="H160" s="2"/>
      <c r="I160" s="2"/>
      <c r="J160" s="2"/>
    </row>
    <row r="161" spans="2:10" ht="14.25" customHeight="1" x14ac:dyDescent="0.3">
      <c r="B161" s="2"/>
      <c r="C161" s="2"/>
      <c r="D161" s="2"/>
      <c r="E161" s="2"/>
      <c r="F161" s="2"/>
      <c r="G161" s="2"/>
      <c r="H161" s="2"/>
      <c r="I161" s="2"/>
      <c r="J161" s="2"/>
    </row>
    <row r="162" spans="2:10" ht="14.25" customHeight="1" x14ac:dyDescent="0.3">
      <c r="B162" s="2"/>
      <c r="C162" s="2"/>
      <c r="D162" s="2"/>
      <c r="E162" s="2"/>
      <c r="F162" s="2"/>
      <c r="G162" s="2"/>
      <c r="H162" s="2"/>
      <c r="I162" s="2"/>
      <c r="J162" s="2"/>
    </row>
    <row r="163" spans="2:10" ht="14.25" customHeight="1" x14ac:dyDescent="0.3">
      <c r="B163" s="2"/>
      <c r="C163" s="2"/>
      <c r="D163" s="2"/>
      <c r="E163" s="2"/>
      <c r="F163" s="2"/>
      <c r="G163" s="2"/>
      <c r="H163" s="2"/>
      <c r="I163" s="2"/>
      <c r="J163" s="2"/>
    </row>
    <row r="164" spans="2:10" ht="14.25" customHeight="1" x14ac:dyDescent="0.25"/>
    <row r="165" spans="2:10" ht="14.25" customHeight="1" x14ac:dyDescent="0.25"/>
    <row r="166" spans="2:10" ht="14.25" customHeight="1" x14ac:dyDescent="0.25"/>
    <row r="167" spans="2:10" ht="14.25" customHeight="1" x14ac:dyDescent="0.25"/>
    <row r="168" spans="2:10" ht="14.25" customHeight="1" x14ac:dyDescent="0.25"/>
    <row r="169" spans="2:10" ht="14.25" customHeight="1" x14ac:dyDescent="0.25"/>
    <row r="170" spans="2:10" ht="14.25" customHeight="1" x14ac:dyDescent="0.25"/>
    <row r="171" spans="2:10" ht="14.25" customHeight="1" x14ac:dyDescent="0.25"/>
    <row r="172" spans="2:10" ht="14.25" customHeight="1" x14ac:dyDescent="0.25"/>
    <row r="173" spans="2:10" ht="14.25" customHeight="1" x14ac:dyDescent="0.25"/>
    <row r="174" spans="2:10" ht="14.25" customHeight="1" x14ac:dyDescent="0.25"/>
    <row r="175" spans="2:10" ht="14.25" customHeight="1" x14ac:dyDescent="0.25"/>
    <row r="176" spans="2:10"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sheetData>
  <pageMargins left="0.75" right="0.75" top="1" bottom="1"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54FD8-FC71-4474-94AA-4595F5310B8D}">
  <dimension ref="A1"/>
  <sheetViews>
    <sheetView workbookViewId="0">
      <selection activeCell="M27" sqref="M27"/>
    </sheetView>
  </sheetViews>
  <sheetFormatPr defaultRowHeight="13.8"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8"/>
  <sheetViews>
    <sheetView showGridLines="0" workbookViewId="0">
      <selection activeCell="D23" sqref="D23"/>
    </sheetView>
  </sheetViews>
  <sheetFormatPr defaultRowHeight="13.8" x14ac:dyDescent="0.25"/>
  <cols>
    <col min="1" max="1" width="15" customWidth="1"/>
    <col min="4" max="4" width="16.296875" bestFit="1" customWidth="1"/>
    <col min="6" max="6" width="11.3984375" bestFit="1" customWidth="1"/>
    <col min="15" max="15" width="28.296875" customWidth="1"/>
  </cols>
  <sheetData>
    <row r="1" spans="1:20" ht="33" customHeight="1" x14ac:dyDescent="0.4">
      <c r="A1" s="49" t="s">
        <v>189</v>
      </c>
      <c r="B1" s="49"/>
      <c r="C1" s="49"/>
      <c r="D1" s="49"/>
      <c r="E1" s="49"/>
      <c r="F1" s="49"/>
      <c r="G1" s="49"/>
      <c r="H1" s="49"/>
    </row>
    <row r="2" spans="1:20" ht="18" x14ac:dyDescent="0.35">
      <c r="A2" s="9"/>
      <c r="B2" s="9"/>
      <c r="C2" s="9"/>
      <c r="D2" s="9"/>
      <c r="E2" s="9"/>
      <c r="F2" s="9"/>
      <c r="G2" s="9"/>
      <c r="H2" s="9"/>
    </row>
    <row r="3" spans="1:20" ht="18" x14ac:dyDescent="0.35">
      <c r="A3" s="8" t="s">
        <v>25</v>
      </c>
      <c r="B3" s="10"/>
      <c r="C3" s="10"/>
      <c r="D3" s="10"/>
      <c r="E3" s="10"/>
      <c r="F3" s="10"/>
      <c r="G3" s="10"/>
      <c r="H3" s="10"/>
    </row>
    <row r="4" spans="1:20" ht="18.75" customHeight="1" x14ac:dyDescent="0.25">
      <c r="A4" s="50" t="s">
        <v>26</v>
      </c>
      <c r="B4" s="50"/>
      <c r="C4" s="50"/>
      <c r="D4" s="50"/>
      <c r="E4" s="50"/>
      <c r="F4" s="50"/>
      <c r="G4" s="50"/>
      <c r="H4" s="50"/>
      <c r="I4" s="50"/>
      <c r="J4" s="50"/>
      <c r="K4" s="50"/>
      <c r="L4" s="50"/>
      <c r="M4" s="50"/>
      <c r="N4" s="50"/>
    </row>
    <row r="5" spans="1:20" ht="13.95" customHeight="1" x14ac:dyDescent="0.25">
      <c r="A5" s="50"/>
      <c r="B5" s="50"/>
      <c r="C5" s="50"/>
      <c r="D5" s="50"/>
      <c r="E5" s="50"/>
      <c r="F5" s="50"/>
      <c r="G5" s="50"/>
      <c r="H5" s="50"/>
      <c r="I5" s="50"/>
      <c r="J5" s="50"/>
      <c r="K5" s="50"/>
      <c r="L5" s="50"/>
      <c r="M5" s="50"/>
      <c r="N5" s="50"/>
    </row>
    <row r="6" spans="1:20" ht="13.95" customHeight="1" x14ac:dyDescent="0.25">
      <c r="A6" s="50"/>
      <c r="B6" s="50"/>
      <c r="C6" s="50"/>
      <c r="D6" s="50"/>
      <c r="E6" s="50"/>
      <c r="F6" s="50"/>
      <c r="G6" s="50"/>
      <c r="H6" s="50"/>
      <c r="I6" s="50"/>
      <c r="J6" s="50"/>
      <c r="K6" s="50"/>
      <c r="L6" s="50"/>
      <c r="M6" s="50"/>
      <c r="N6" s="50"/>
    </row>
    <row r="7" spans="1:20" ht="13.95" customHeight="1" x14ac:dyDescent="0.25">
      <c r="A7" s="50"/>
      <c r="B7" s="50"/>
      <c r="C7" s="50"/>
      <c r="D7" s="50"/>
      <c r="E7" s="50"/>
      <c r="F7" s="50"/>
      <c r="G7" s="50"/>
      <c r="H7" s="50"/>
      <c r="I7" s="50"/>
      <c r="J7" s="50"/>
      <c r="K7" s="50"/>
      <c r="L7" s="50"/>
      <c r="M7" s="50"/>
      <c r="N7" s="50"/>
    </row>
    <row r="8" spans="1:20" ht="18" x14ac:dyDescent="0.35">
      <c r="A8" s="9"/>
      <c r="B8" s="9"/>
      <c r="C8" s="9"/>
      <c r="D8" s="9"/>
      <c r="E8" s="9"/>
      <c r="F8" s="9"/>
      <c r="G8" s="9"/>
      <c r="H8" s="9"/>
    </row>
    <row r="9" spans="1:20" ht="18" x14ac:dyDescent="0.35">
      <c r="A9" s="11" t="s">
        <v>19</v>
      </c>
      <c r="B9" s="12"/>
      <c r="C9" s="12"/>
      <c r="D9" s="12"/>
      <c r="E9" s="12"/>
      <c r="F9" s="12"/>
      <c r="G9" s="12"/>
      <c r="H9" s="12"/>
    </row>
    <row r="10" spans="1:20" ht="18" x14ac:dyDescent="0.35">
      <c r="A10" s="13" t="s">
        <v>18</v>
      </c>
      <c r="B10" s="10"/>
      <c r="C10" s="10"/>
      <c r="D10" s="10"/>
      <c r="E10" s="10"/>
      <c r="F10" s="10"/>
      <c r="G10" s="10"/>
      <c r="H10" s="10"/>
      <c r="I10" s="5" t="s">
        <v>0</v>
      </c>
      <c r="J10" s="4"/>
      <c r="K10" s="4"/>
      <c r="L10" s="4"/>
      <c r="M10" s="4"/>
      <c r="N10" s="4"/>
      <c r="O10" s="4"/>
      <c r="P10" s="4"/>
      <c r="Q10" s="4"/>
    </row>
    <row r="11" spans="1:20" ht="18" x14ac:dyDescent="0.35">
      <c r="A11" s="14" t="s">
        <v>20</v>
      </c>
      <c r="B11" s="14"/>
      <c r="C11" s="14"/>
      <c r="D11" s="14"/>
      <c r="E11" s="15">
        <f>COUNTA(MasterTable[PropertyID])</f>
        <v>125</v>
      </c>
      <c r="F11" s="14" t="s">
        <v>330</v>
      </c>
      <c r="G11" s="43">
        <f>E12/E11</f>
        <v>0.33600000000000002</v>
      </c>
      <c r="H11" s="14"/>
      <c r="I11" s="21" t="s">
        <v>1</v>
      </c>
      <c r="J11" s="22"/>
      <c r="K11" s="22"/>
      <c r="L11" s="22"/>
      <c r="M11" s="22"/>
      <c r="N11" s="22"/>
      <c r="O11" s="22"/>
      <c r="P11" s="22"/>
      <c r="Q11" s="22"/>
    </row>
    <row r="12" spans="1:20" ht="18" x14ac:dyDescent="0.35">
      <c r="A12" s="14" t="s">
        <v>21</v>
      </c>
      <c r="B12" s="14"/>
      <c r="C12" s="14"/>
      <c r="D12" s="14"/>
      <c r="E12" s="15">
        <f>COUNTA(MasterTable[Sale Date])</f>
        <v>42</v>
      </c>
      <c r="F12" s="14">
        <f>COUNTIF(MasterTable[Sold],"Yes")</f>
        <v>42</v>
      </c>
      <c r="G12" s="14"/>
      <c r="H12" s="14"/>
      <c r="I12" s="6" t="s">
        <v>190</v>
      </c>
      <c r="J12" s="7"/>
      <c r="K12" s="7"/>
      <c r="L12" s="7"/>
      <c r="M12" s="7"/>
      <c r="N12" s="7"/>
      <c r="O12" s="7"/>
      <c r="P12" s="7"/>
      <c r="Q12" s="7"/>
    </row>
    <row r="13" spans="1:20" s="3" customFormat="1" ht="18" x14ac:dyDescent="0.35">
      <c r="A13" s="16"/>
      <c r="B13" s="16"/>
      <c r="C13" s="16"/>
      <c r="D13" s="16"/>
      <c r="E13" s="16"/>
      <c r="F13" s="16"/>
      <c r="G13" s="16"/>
      <c r="H13" s="16"/>
      <c r="I13" s="21" t="s">
        <v>28</v>
      </c>
      <c r="J13" s="22"/>
      <c r="K13" s="22"/>
      <c r="L13" s="22"/>
      <c r="M13" s="22"/>
      <c r="N13" s="22"/>
      <c r="O13" s="22"/>
      <c r="P13" s="22"/>
      <c r="Q13" s="22"/>
      <c r="T13" s="3" t="s">
        <v>12</v>
      </c>
    </row>
    <row r="14" spans="1:20" ht="18" x14ac:dyDescent="0.35">
      <c r="A14" s="14" t="s">
        <v>2</v>
      </c>
      <c r="B14" s="14"/>
      <c r="C14" s="14"/>
      <c r="D14" s="14"/>
      <c r="E14" s="14"/>
      <c r="F14" s="14"/>
      <c r="G14" s="14"/>
      <c r="H14" s="14"/>
      <c r="I14" s="6" t="s">
        <v>4</v>
      </c>
      <c r="J14" s="7"/>
      <c r="K14" s="7"/>
      <c r="L14" s="7"/>
      <c r="M14" s="7"/>
      <c r="N14" s="7"/>
      <c r="O14" s="7"/>
      <c r="P14" s="7"/>
      <c r="Q14" s="7"/>
      <c r="T14" s="1" t="s">
        <v>10</v>
      </c>
    </row>
    <row r="15" spans="1:20" ht="18" x14ac:dyDescent="0.35">
      <c r="A15" s="14" t="s">
        <v>8</v>
      </c>
      <c r="B15" s="14"/>
      <c r="C15" s="14"/>
      <c r="D15" s="14"/>
      <c r="E15" s="24"/>
      <c r="F15" s="41">
        <f>AVERAGE(MasterTable[Price Per SqFt])</f>
        <v>139.20781513359893</v>
      </c>
      <c r="G15" s="14"/>
      <c r="H15" s="14"/>
      <c r="I15" s="6" t="s">
        <v>5</v>
      </c>
      <c r="J15" s="7"/>
      <c r="K15" s="7"/>
      <c r="L15" s="7"/>
      <c r="M15" s="7"/>
      <c r="N15" s="7"/>
      <c r="O15" s="7"/>
      <c r="P15" s="7"/>
      <c r="Q15" s="7"/>
      <c r="T15" s="1" t="s">
        <v>9</v>
      </c>
    </row>
    <row r="16" spans="1:20" ht="18" x14ac:dyDescent="0.35">
      <c r="A16" s="14" t="s">
        <v>22</v>
      </c>
      <c r="B16" s="14"/>
      <c r="C16" s="14"/>
      <c r="D16" s="14"/>
      <c r="E16" s="14"/>
      <c r="F16" s="14"/>
      <c r="G16" s="14"/>
      <c r="H16" s="14"/>
      <c r="I16" s="6" t="s">
        <v>6</v>
      </c>
      <c r="J16" s="7"/>
      <c r="K16" s="7"/>
      <c r="L16" s="7"/>
      <c r="M16" s="7"/>
      <c r="N16" s="7"/>
      <c r="O16" s="7"/>
      <c r="P16" s="7"/>
      <c r="Q16" s="7"/>
      <c r="T16" s="1" t="s">
        <v>11</v>
      </c>
    </row>
    <row r="17" spans="1:17" ht="18" x14ac:dyDescent="0.35">
      <c r="A17" s="14" t="s">
        <v>17</v>
      </c>
      <c r="B17" s="14"/>
      <c r="C17" s="14"/>
      <c r="D17" s="14"/>
      <c r="E17" s="14"/>
      <c r="F17" s="14"/>
      <c r="G17" s="14"/>
      <c r="H17" s="14"/>
      <c r="I17" s="6" t="s">
        <v>7</v>
      </c>
      <c r="J17" s="7"/>
      <c r="K17" s="7"/>
      <c r="L17" s="7"/>
      <c r="M17" s="7"/>
      <c r="N17" s="7"/>
      <c r="O17" s="7"/>
      <c r="P17" s="7"/>
      <c r="Q17" s="7"/>
    </row>
    <row r="18" spans="1:17" ht="18" x14ac:dyDescent="0.35">
      <c r="A18" s="14" t="s">
        <v>3</v>
      </c>
      <c r="B18" s="14"/>
      <c r="C18" s="14"/>
      <c r="D18" s="14"/>
      <c r="E18" s="14"/>
      <c r="F18" s="14"/>
      <c r="G18" s="14"/>
      <c r="H18" s="14"/>
      <c r="I18" s="6" t="s">
        <v>29</v>
      </c>
      <c r="J18" s="7"/>
      <c r="K18" s="7"/>
      <c r="L18" s="7"/>
      <c r="M18" s="7"/>
      <c r="N18" s="7"/>
      <c r="O18" s="7"/>
      <c r="P18" s="7"/>
      <c r="Q18" s="7"/>
    </row>
    <row r="19" spans="1:17" ht="18" x14ac:dyDescent="0.35">
      <c r="A19" s="13" t="s">
        <v>13</v>
      </c>
      <c r="B19" s="10"/>
      <c r="C19" s="10"/>
      <c r="D19" s="10"/>
      <c r="E19" s="10"/>
      <c r="F19" s="10"/>
      <c r="G19" s="10"/>
      <c r="H19" s="10"/>
      <c r="I19" s="6" t="s">
        <v>30</v>
      </c>
      <c r="J19" s="7"/>
      <c r="K19" s="7"/>
      <c r="L19" s="7"/>
      <c r="M19" s="7"/>
      <c r="N19" s="7"/>
      <c r="O19" s="7"/>
      <c r="P19" s="7"/>
      <c r="Q19" s="7"/>
    </row>
    <row r="20" spans="1:17" ht="18" x14ac:dyDescent="0.35">
      <c r="A20" s="20" t="s">
        <v>14</v>
      </c>
      <c r="B20" s="14"/>
      <c r="C20" s="14"/>
      <c r="D20" s="42">
        <f>SUMIF(MasterTable[Sold],"Yes",MasterTable[Offered Price])</f>
        <v>12436421</v>
      </c>
      <c r="E20" s="14"/>
      <c r="F20" s="14"/>
      <c r="G20" s="14"/>
      <c r="H20" s="14"/>
      <c r="I20" s="6" t="s">
        <v>31</v>
      </c>
      <c r="J20" s="7"/>
      <c r="K20" s="7"/>
      <c r="L20" s="7"/>
      <c r="M20" s="7"/>
      <c r="N20" s="7"/>
      <c r="O20" s="7"/>
      <c r="P20" s="7"/>
      <c r="Q20" s="7"/>
    </row>
    <row r="21" spans="1:17" ht="18" x14ac:dyDescent="0.35">
      <c r="A21" s="14"/>
      <c r="B21" s="14"/>
      <c r="C21" s="14"/>
      <c r="D21" s="14"/>
      <c r="E21" s="14"/>
      <c r="F21" s="14"/>
      <c r="G21" s="14"/>
      <c r="H21" s="14"/>
      <c r="I21" s="6" t="s">
        <v>32</v>
      </c>
      <c r="J21" s="7"/>
      <c r="K21" s="7"/>
      <c r="L21" s="7"/>
      <c r="M21" s="7"/>
      <c r="N21" s="7"/>
      <c r="O21" s="7"/>
      <c r="P21" s="7"/>
      <c r="Q21" s="7"/>
    </row>
    <row r="22" spans="1:17" ht="18" x14ac:dyDescent="0.35">
      <c r="A22" s="14" t="s">
        <v>15</v>
      </c>
      <c r="B22" s="14"/>
      <c r="C22" s="14"/>
      <c r="D22" s="14"/>
      <c r="E22" s="14"/>
      <c r="F22" s="14"/>
      <c r="G22" s="14"/>
      <c r="H22" s="14"/>
      <c r="I22" s="6" t="s">
        <v>33</v>
      </c>
      <c r="J22" s="7"/>
      <c r="K22" s="7"/>
      <c r="L22" s="7"/>
      <c r="M22" s="7"/>
      <c r="N22" s="7"/>
      <c r="O22" s="7"/>
      <c r="P22" s="7"/>
      <c r="Q22" s="7"/>
    </row>
    <row r="23" spans="1:17" ht="18" x14ac:dyDescent="0.35">
      <c r="A23" s="14" t="s">
        <v>16</v>
      </c>
      <c r="B23" s="14"/>
      <c r="C23" s="14"/>
      <c r="D23" s="14">
        <v>12436421</v>
      </c>
      <c r="E23" s="14"/>
      <c r="F23" s="14"/>
      <c r="G23" s="14"/>
      <c r="H23" s="14"/>
      <c r="I23" s="6" t="s">
        <v>34</v>
      </c>
      <c r="J23" s="7"/>
      <c r="K23" s="7"/>
      <c r="L23" s="7"/>
      <c r="M23" s="7"/>
      <c r="N23" s="7"/>
      <c r="O23" s="7"/>
      <c r="P23" s="7"/>
      <c r="Q23" s="7"/>
    </row>
    <row r="24" spans="1:17" ht="18" x14ac:dyDescent="0.35">
      <c r="A24" s="17" t="s">
        <v>23</v>
      </c>
      <c r="B24" s="14"/>
      <c r="C24" s="14"/>
      <c r="D24" s="14"/>
      <c r="E24" s="14"/>
      <c r="F24" s="14"/>
      <c r="G24" s="14"/>
      <c r="H24" s="14"/>
      <c r="I24" s="6" t="s">
        <v>35</v>
      </c>
      <c r="J24" s="7"/>
      <c r="K24" s="7"/>
      <c r="L24" s="7"/>
      <c r="M24" s="7"/>
      <c r="N24" s="7"/>
      <c r="O24" s="7"/>
      <c r="P24" s="7"/>
      <c r="Q24" s="7"/>
    </row>
    <row r="25" spans="1:17" ht="18" x14ac:dyDescent="0.35">
      <c r="A25" s="14" t="s">
        <v>27</v>
      </c>
      <c r="B25" s="14"/>
      <c r="C25" s="14"/>
      <c r="D25" s="14"/>
      <c r="E25" s="14"/>
      <c r="F25" s="14"/>
      <c r="G25" s="14"/>
      <c r="H25" s="14"/>
      <c r="I25" s="6" t="s">
        <v>36</v>
      </c>
      <c r="J25" s="7"/>
      <c r="K25" s="7"/>
      <c r="L25" s="7"/>
      <c r="M25" s="7"/>
      <c r="N25" s="7"/>
      <c r="O25" s="7"/>
      <c r="P25" s="7"/>
      <c r="Q25" s="7"/>
    </row>
    <row r="26" spans="1:17" ht="18" x14ac:dyDescent="0.35">
      <c r="A26" s="9"/>
      <c r="B26" s="9"/>
      <c r="C26" s="9"/>
      <c r="D26" s="9"/>
      <c r="E26" s="9"/>
      <c r="F26" s="9"/>
      <c r="G26" s="9"/>
      <c r="H26" s="9"/>
      <c r="I26" s="6" t="s">
        <v>37</v>
      </c>
      <c r="J26" s="7"/>
      <c r="K26" s="7"/>
      <c r="L26" s="7"/>
      <c r="M26" s="7"/>
      <c r="N26" s="7"/>
      <c r="O26" s="7"/>
      <c r="P26" s="7"/>
      <c r="Q26" s="7"/>
    </row>
    <row r="27" spans="1:17" ht="17.399999999999999" x14ac:dyDescent="0.3">
      <c r="A27" s="13" t="s">
        <v>24</v>
      </c>
      <c r="B27" s="13"/>
      <c r="C27" s="13"/>
      <c r="D27" s="13"/>
      <c r="E27" s="13"/>
      <c r="F27" s="13"/>
      <c r="G27" s="13"/>
      <c r="H27" s="13"/>
      <c r="I27" s="6" t="s">
        <v>38</v>
      </c>
      <c r="J27" s="7"/>
      <c r="K27" s="7"/>
      <c r="L27" s="7"/>
      <c r="M27" s="7"/>
      <c r="N27" s="7"/>
      <c r="O27" s="7"/>
      <c r="P27" s="7"/>
      <c r="Q27" s="7"/>
    </row>
    <row r="28" spans="1:17" ht="18" x14ac:dyDescent="0.35">
      <c r="A28" s="18" t="s">
        <v>329</v>
      </c>
      <c r="B28" s="18"/>
      <c r="C28" s="18"/>
      <c r="D28" s="18"/>
      <c r="E28" s="18"/>
      <c r="F28" s="18"/>
      <c r="G28" s="18"/>
      <c r="H28" s="18"/>
      <c r="I28" s="6" t="s">
        <v>39</v>
      </c>
      <c r="J28" s="7"/>
      <c r="K28" s="7"/>
      <c r="L28" s="7"/>
      <c r="M28" s="7"/>
      <c r="N28" s="7"/>
      <c r="O28" s="7"/>
      <c r="P28" s="7"/>
      <c r="Q28" s="7"/>
    </row>
    <row r="29" spans="1:17" ht="18" x14ac:dyDescent="0.35">
      <c r="A29" s="18" t="s">
        <v>331</v>
      </c>
      <c r="B29" s="19"/>
      <c r="C29" s="19"/>
      <c r="D29" s="19"/>
      <c r="E29" s="19"/>
      <c r="F29" s="19"/>
      <c r="G29" s="19"/>
      <c r="H29" s="19"/>
      <c r="I29" s="6" t="s">
        <v>40</v>
      </c>
      <c r="J29" s="7"/>
      <c r="K29" s="7"/>
      <c r="L29" s="7"/>
      <c r="M29" s="7"/>
      <c r="N29" s="7"/>
      <c r="O29" s="7"/>
      <c r="P29" s="7"/>
      <c r="Q29" s="7"/>
    </row>
    <row r="30" spans="1:17" ht="18" x14ac:dyDescent="0.35">
      <c r="A30" s="18"/>
      <c r="B30" s="19"/>
      <c r="C30" s="19"/>
      <c r="D30" s="19"/>
      <c r="E30" s="19"/>
      <c r="F30" s="19"/>
      <c r="G30" s="19"/>
      <c r="H30" s="19"/>
      <c r="I30" s="6" t="s">
        <v>41</v>
      </c>
      <c r="J30" s="7"/>
      <c r="K30" s="7"/>
      <c r="L30" s="7"/>
      <c r="M30" s="7"/>
      <c r="N30" s="7"/>
      <c r="O30" s="7"/>
      <c r="P30" s="7"/>
      <c r="Q30" s="7"/>
    </row>
    <row r="31" spans="1:17" ht="18" x14ac:dyDescent="0.35">
      <c r="A31" s="18"/>
      <c r="B31" s="19"/>
      <c r="C31" s="19"/>
      <c r="D31" s="19"/>
      <c r="E31" s="19"/>
      <c r="F31" s="19"/>
      <c r="G31" s="19"/>
      <c r="H31" s="19"/>
      <c r="I31" s="6" t="s">
        <v>42</v>
      </c>
      <c r="J31" s="7"/>
      <c r="K31" s="7"/>
      <c r="L31" s="7"/>
      <c r="M31" s="7"/>
      <c r="N31" s="7"/>
      <c r="O31" s="7"/>
      <c r="P31" s="7"/>
      <c r="Q31" s="7"/>
    </row>
    <row r="32" spans="1:17" ht="18" x14ac:dyDescent="0.35">
      <c r="A32" s="18"/>
      <c r="B32" s="19"/>
      <c r="C32" s="19"/>
      <c r="D32" s="19"/>
      <c r="E32" s="19"/>
      <c r="F32" s="19"/>
      <c r="G32" s="19"/>
      <c r="H32" s="19"/>
      <c r="I32" s="6" t="s">
        <v>43</v>
      </c>
      <c r="J32" s="7"/>
      <c r="K32" s="7"/>
      <c r="L32" s="7"/>
      <c r="M32" s="7"/>
      <c r="N32" s="7"/>
      <c r="O32" s="7"/>
      <c r="P32" s="7"/>
      <c r="Q32" s="7"/>
    </row>
    <row r="33" spans="1:17" ht="18" x14ac:dyDescent="0.35">
      <c r="A33" s="18"/>
      <c r="B33" s="19"/>
      <c r="C33" s="19"/>
      <c r="D33" s="19"/>
      <c r="E33" s="19"/>
      <c r="F33" s="19"/>
      <c r="G33" s="19"/>
      <c r="H33" s="19"/>
      <c r="I33" s="6" t="s">
        <v>44</v>
      </c>
      <c r="J33" s="7"/>
      <c r="K33" s="7"/>
      <c r="L33" s="7"/>
      <c r="M33" s="7"/>
      <c r="N33" s="7"/>
      <c r="O33" s="7"/>
      <c r="P33" s="7"/>
      <c r="Q33" s="7"/>
    </row>
    <row r="34" spans="1:17" ht="18" x14ac:dyDescent="0.35">
      <c r="A34" s="18"/>
      <c r="B34" s="19"/>
      <c r="C34" s="19"/>
      <c r="D34" s="19"/>
      <c r="E34" s="19"/>
      <c r="F34" s="19"/>
      <c r="G34" s="19"/>
      <c r="H34" s="19"/>
      <c r="I34" s="6" t="s">
        <v>45</v>
      </c>
      <c r="J34" s="7"/>
      <c r="K34" s="7"/>
      <c r="L34" s="7"/>
      <c r="M34" s="7"/>
      <c r="N34" s="7"/>
      <c r="O34" s="7"/>
      <c r="P34" s="7"/>
      <c r="Q34" s="7"/>
    </row>
    <row r="35" spans="1:17" ht="18" x14ac:dyDescent="0.35">
      <c r="A35" s="18"/>
      <c r="B35" s="19"/>
      <c r="C35" s="19"/>
      <c r="D35" s="19"/>
      <c r="E35" s="19"/>
      <c r="F35" s="19"/>
      <c r="G35" s="19"/>
      <c r="H35" s="19"/>
      <c r="I35" s="21" t="s">
        <v>46</v>
      </c>
      <c r="J35" s="22"/>
      <c r="K35" s="22"/>
      <c r="L35" s="22"/>
      <c r="M35" s="22"/>
      <c r="N35" s="22"/>
      <c r="O35" s="22"/>
      <c r="P35" s="22"/>
      <c r="Q35" s="22"/>
    </row>
    <row r="36" spans="1:17" ht="18" x14ac:dyDescent="0.35">
      <c r="A36" s="18"/>
      <c r="B36" s="19"/>
      <c r="C36" s="19"/>
      <c r="D36" s="19"/>
      <c r="E36" s="19"/>
      <c r="F36" s="19"/>
      <c r="G36" s="19"/>
      <c r="H36" s="19"/>
      <c r="I36" s="6" t="s">
        <v>191</v>
      </c>
      <c r="J36" s="7"/>
      <c r="K36" s="7"/>
      <c r="L36" s="7"/>
      <c r="M36" s="7"/>
      <c r="N36" s="7"/>
      <c r="O36" s="7"/>
      <c r="P36" s="7"/>
      <c r="Q36" s="7"/>
    </row>
    <row r="37" spans="1:17" ht="18" x14ac:dyDescent="0.35">
      <c r="A37" s="18"/>
      <c r="B37" s="19"/>
      <c r="C37" s="19"/>
      <c r="D37" s="19"/>
      <c r="E37" s="19"/>
      <c r="F37" s="19"/>
      <c r="G37" s="19"/>
      <c r="H37" s="19"/>
      <c r="I37" s="23"/>
      <c r="J37" s="23"/>
      <c r="K37" s="23"/>
      <c r="L37" s="23"/>
      <c r="M37" s="23"/>
      <c r="N37" s="23"/>
      <c r="O37" s="23"/>
      <c r="P37" s="23"/>
      <c r="Q37" s="23"/>
    </row>
    <row r="38" spans="1:17" ht="18" x14ac:dyDescent="0.35">
      <c r="A38" s="18"/>
      <c r="B38" s="18"/>
      <c r="C38" s="18"/>
      <c r="D38" s="18"/>
      <c r="E38" s="18"/>
      <c r="F38" s="18"/>
      <c r="G38" s="18"/>
      <c r="H38" s="18"/>
    </row>
  </sheetData>
  <mergeCells count="2">
    <mergeCell ref="A1:H1"/>
    <mergeCell ref="A4:N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A61A2-8D7B-4D24-98FE-2E253E28ED5E}">
  <dimension ref="A2:D85"/>
  <sheetViews>
    <sheetView zoomScaleNormal="100" workbookViewId="0">
      <selection activeCell="H22" sqref="H22"/>
    </sheetView>
  </sheetViews>
  <sheetFormatPr defaultRowHeight="13.8" x14ac:dyDescent="0.25"/>
  <cols>
    <col min="1" max="1" width="24.09765625" bestFit="1" customWidth="1"/>
    <col min="2" max="2" width="17" bestFit="1" customWidth="1"/>
    <col min="3" max="3" width="4.296875" bestFit="1" customWidth="1"/>
    <col min="4" max="4" width="11.5" bestFit="1" customWidth="1"/>
    <col min="5" max="13" width="16.09765625" bestFit="1" customWidth="1"/>
    <col min="14" max="14" width="11" bestFit="1" customWidth="1"/>
    <col min="15" max="42" width="16.09765625" bestFit="1" customWidth="1"/>
    <col min="43" max="43" width="11" bestFit="1" customWidth="1"/>
  </cols>
  <sheetData>
    <row r="2" spans="1:4" x14ac:dyDescent="0.25">
      <c r="A2" s="48" t="s">
        <v>350</v>
      </c>
    </row>
    <row r="3" spans="1:4" x14ac:dyDescent="0.25">
      <c r="A3" s="44" t="s">
        <v>335</v>
      </c>
      <c r="B3" s="44" t="s">
        <v>334</v>
      </c>
    </row>
    <row r="4" spans="1:4" x14ac:dyDescent="0.25">
      <c r="A4" s="44" t="s">
        <v>322</v>
      </c>
      <c r="B4" t="s">
        <v>326</v>
      </c>
      <c r="C4" t="s">
        <v>327</v>
      </c>
      <c r="D4" t="s">
        <v>332</v>
      </c>
    </row>
    <row r="5" spans="1:4" x14ac:dyDescent="0.25">
      <c r="A5" s="45" t="s">
        <v>278</v>
      </c>
      <c r="B5">
        <v>33</v>
      </c>
      <c r="C5">
        <v>11</v>
      </c>
      <c r="D5">
        <v>44</v>
      </c>
    </row>
    <row r="6" spans="1:4" x14ac:dyDescent="0.25">
      <c r="A6" s="45" t="s">
        <v>240</v>
      </c>
      <c r="B6">
        <v>26</v>
      </c>
      <c r="C6">
        <v>15</v>
      </c>
      <c r="D6">
        <v>41</v>
      </c>
    </row>
    <row r="7" spans="1:4" x14ac:dyDescent="0.25">
      <c r="A7" s="45" t="s">
        <v>197</v>
      </c>
      <c r="B7">
        <v>24</v>
      </c>
      <c r="C7">
        <v>16</v>
      </c>
      <c r="D7">
        <v>40</v>
      </c>
    </row>
    <row r="10" spans="1:4" x14ac:dyDescent="0.25">
      <c r="A10" s="48" t="s">
        <v>351</v>
      </c>
    </row>
    <row r="11" spans="1:4" x14ac:dyDescent="0.25">
      <c r="A11" s="44" t="s">
        <v>322</v>
      </c>
      <c r="B11" t="s">
        <v>336</v>
      </c>
    </row>
    <row r="12" spans="1:4" x14ac:dyDescent="0.25">
      <c r="A12" s="45" t="s">
        <v>278</v>
      </c>
      <c r="B12" s="46">
        <v>142.84546240023644</v>
      </c>
    </row>
    <row r="13" spans="1:4" x14ac:dyDescent="0.25">
      <c r="A13" s="45" t="s">
        <v>240</v>
      </c>
      <c r="B13" s="46">
        <v>148.32748457417523</v>
      </c>
    </row>
    <row r="14" spans="1:4" x14ac:dyDescent="0.25">
      <c r="A14" s="45" t="s">
        <v>197</v>
      </c>
      <c r="B14" s="46">
        <v>125.85874196370682</v>
      </c>
    </row>
    <row r="16" spans="1:4" x14ac:dyDescent="0.25">
      <c r="A16" s="48" t="s">
        <v>352</v>
      </c>
    </row>
    <row r="17" spans="1:3" x14ac:dyDescent="0.25">
      <c r="A17" s="44" t="s">
        <v>333</v>
      </c>
      <c r="B17" s="44" t="s">
        <v>334</v>
      </c>
    </row>
    <row r="18" spans="1:3" x14ac:dyDescent="0.25">
      <c r="A18" s="44" t="s">
        <v>322</v>
      </c>
      <c r="B18" t="s">
        <v>327</v>
      </c>
      <c r="C18" t="s">
        <v>326</v>
      </c>
    </row>
    <row r="19" spans="1:3" x14ac:dyDescent="0.25">
      <c r="A19" s="45" t="s">
        <v>58</v>
      </c>
      <c r="B19" s="47">
        <v>0.30769230769230771</v>
      </c>
      <c r="C19" s="47">
        <v>0.69230769230769229</v>
      </c>
    </row>
    <row r="20" spans="1:3" x14ac:dyDescent="0.25">
      <c r="A20" s="45" t="s">
        <v>109</v>
      </c>
      <c r="B20" s="47">
        <v>0.5</v>
      </c>
      <c r="C20" s="47">
        <v>0.5</v>
      </c>
    </row>
    <row r="21" spans="1:3" x14ac:dyDescent="0.25">
      <c r="A21" s="45" t="s">
        <v>51</v>
      </c>
      <c r="B21" s="47">
        <v>0.16666666666666666</v>
      </c>
      <c r="C21" s="47">
        <v>0.83333333333333337</v>
      </c>
    </row>
    <row r="22" spans="1:3" x14ac:dyDescent="0.25">
      <c r="A22" s="45" t="s">
        <v>60</v>
      </c>
      <c r="B22" s="47">
        <v>0.4</v>
      </c>
      <c r="C22" s="47">
        <v>0.6</v>
      </c>
    </row>
    <row r="23" spans="1:3" x14ac:dyDescent="0.25">
      <c r="A23" s="45" t="s">
        <v>53</v>
      </c>
      <c r="B23" s="47">
        <v>0.16666666666666666</v>
      </c>
      <c r="C23" s="47">
        <v>0.83333333333333337</v>
      </c>
    </row>
    <row r="24" spans="1:3" x14ac:dyDescent="0.25">
      <c r="A24" s="45" t="s">
        <v>48</v>
      </c>
      <c r="B24" s="47">
        <v>0.34146341463414637</v>
      </c>
      <c r="C24" s="47">
        <v>0.65853658536585369</v>
      </c>
    </row>
    <row r="26" spans="1:3" x14ac:dyDescent="0.25">
      <c r="A26" s="48" t="s">
        <v>353</v>
      </c>
    </row>
    <row r="27" spans="1:3" x14ac:dyDescent="0.25">
      <c r="A27" s="44" t="s">
        <v>333</v>
      </c>
      <c r="B27" s="44" t="s">
        <v>334</v>
      </c>
    </row>
    <row r="28" spans="1:3" x14ac:dyDescent="0.25">
      <c r="A28" s="44" t="s">
        <v>349</v>
      </c>
      <c r="B28" t="s">
        <v>327</v>
      </c>
      <c r="C28" t="s">
        <v>332</v>
      </c>
    </row>
    <row r="29" spans="1:3" x14ac:dyDescent="0.25">
      <c r="A29" s="45" t="s">
        <v>337</v>
      </c>
      <c r="B29">
        <v>6</v>
      </c>
      <c r="C29">
        <v>6</v>
      </c>
    </row>
    <row r="30" spans="1:3" x14ac:dyDescent="0.25">
      <c r="A30" s="45" t="s">
        <v>338</v>
      </c>
      <c r="B30">
        <v>2</v>
      </c>
      <c r="C30">
        <v>2</v>
      </c>
    </row>
    <row r="31" spans="1:3" x14ac:dyDescent="0.25">
      <c r="A31" s="45" t="s">
        <v>339</v>
      </c>
      <c r="B31">
        <v>2</v>
      </c>
      <c r="C31">
        <v>2</v>
      </c>
    </row>
    <row r="32" spans="1:3" x14ac:dyDescent="0.25">
      <c r="A32" s="45" t="s">
        <v>340</v>
      </c>
      <c r="B32">
        <v>4</v>
      </c>
      <c r="C32">
        <v>4</v>
      </c>
    </row>
    <row r="33" spans="1:3" x14ac:dyDescent="0.25">
      <c r="A33" s="45" t="s">
        <v>341</v>
      </c>
      <c r="B33">
        <v>4</v>
      </c>
      <c r="C33">
        <v>4</v>
      </c>
    </row>
    <row r="34" spans="1:3" x14ac:dyDescent="0.25">
      <c r="A34" s="45" t="s">
        <v>342</v>
      </c>
      <c r="B34">
        <v>1</v>
      </c>
      <c r="C34">
        <v>1</v>
      </c>
    </row>
    <row r="35" spans="1:3" x14ac:dyDescent="0.25">
      <c r="A35" s="45" t="s">
        <v>343</v>
      </c>
      <c r="B35">
        <v>3</v>
      </c>
      <c r="C35">
        <v>3</v>
      </c>
    </row>
    <row r="36" spans="1:3" x14ac:dyDescent="0.25">
      <c r="A36" s="45" t="s">
        <v>344</v>
      </c>
      <c r="B36">
        <v>3</v>
      </c>
      <c r="C36">
        <v>3</v>
      </c>
    </row>
    <row r="37" spans="1:3" x14ac:dyDescent="0.25">
      <c r="A37" s="45" t="s">
        <v>345</v>
      </c>
      <c r="B37">
        <v>4</v>
      </c>
      <c r="C37">
        <v>4</v>
      </c>
    </row>
    <row r="38" spans="1:3" x14ac:dyDescent="0.25">
      <c r="A38" s="45" t="s">
        <v>346</v>
      </c>
      <c r="B38">
        <v>4</v>
      </c>
      <c r="C38">
        <v>4</v>
      </c>
    </row>
    <row r="39" spans="1:3" x14ac:dyDescent="0.25">
      <c r="A39" s="45" t="s">
        <v>347</v>
      </c>
      <c r="B39">
        <v>6</v>
      </c>
      <c r="C39">
        <v>6</v>
      </c>
    </row>
    <row r="40" spans="1:3" x14ac:dyDescent="0.25">
      <c r="A40" s="45" t="s">
        <v>348</v>
      </c>
      <c r="B40">
        <v>3</v>
      </c>
      <c r="C40">
        <v>3</v>
      </c>
    </row>
    <row r="41" spans="1:3" x14ac:dyDescent="0.25">
      <c r="A41" s="45" t="s">
        <v>332</v>
      </c>
      <c r="B41">
        <v>42</v>
      </c>
      <c r="C41">
        <v>42</v>
      </c>
    </row>
    <row r="43" spans="1:3" x14ac:dyDescent="0.25">
      <c r="A43" t="s">
        <v>40</v>
      </c>
    </row>
    <row r="45" spans="1:3" x14ac:dyDescent="0.25">
      <c r="A45" s="44" t="s">
        <v>333</v>
      </c>
      <c r="B45" s="44" t="s">
        <v>334</v>
      </c>
    </row>
    <row r="46" spans="1:3" x14ac:dyDescent="0.25">
      <c r="A46" s="44" t="s">
        <v>349</v>
      </c>
      <c r="B46" t="s">
        <v>326</v>
      </c>
      <c r="C46" t="s">
        <v>327</v>
      </c>
    </row>
    <row r="47" spans="1:3" x14ac:dyDescent="0.25">
      <c r="A47" s="45" t="s">
        <v>201</v>
      </c>
      <c r="B47">
        <v>29</v>
      </c>
      <c r="C47">
        <v>15</v>
      </c>
    </row>
    <row r="48" spans="1:3" x14ac:dyDescent="0.25">
      <c r="A48" s="45" t="s">
        <v>193</v>
      </c>
      <c r="B48">
        <v>54</v>
      </c>
      <c r="C48">
        <v>27</v>
      </c>
    </row>
    <row r="50" spans="1:2" x14ac:dyDescent="0.25">
      <c r="A50" t="s">
        <v>42</v>
      </c>
    </row>
    <row r="52" spans="1:2" x14ac:dyDescent="0.25">
      <c r="A52" s="44" t="s">
        <v>97</v>
      </c>
      <c r="B52" t="s">
        <v>327</v>
      </c>
    </row>
    <row r="54" spans="1:2" x14ac:dyDescent="0.25">
      <c r="A54" s="44" t="s">
        <v>349</v>
      </c>
      <c r="B54" t="s">
        <v>354</v>
      </c>
    </row>
    <row r="55" spans="1:2" x14ac:dyDescent="0.25">
      <c r="A55" s="45" t="s">
        <v>278</v>
      </c>
      <c r="B55" s="46">
        <v>3296760</v>
      </c>
    </row>
    <row r="56" spans="1:2" x14ac:dyDescent="0.25">
      <c r="A56" s="45" t="s">
        <v>240</v>
      </c>
      <c r="B56" s="46">
        <v>4951900</v>
      </c>
    </row>
    <row r="57" spans="1:2" x14ac:dyDescent="0.25">
      <c r="A57" s="45" t="s">
        <v>197</v>
      </c>
      <c r="B57" s="46">
        <v>4187761</v>
      </c>
    </row>
    <row r="58" spans="1:2" x14ac:dyDescent="0.25">
      <c r="A58" s="45" t="s">
        <v>332</v>
      </c>
      <c r="B58" s="46">
        <v>12436421</v>
      </c>
    </row>
    <row r="60" spans="1:2" x14ac:dyDescent="0.25">
      <c r="A60" t="s">
        <v>43</v>
      </c>
    </row>
    <row r="62" spans="1:2" x14ac:dyDescent="0.25">
      <c r="A62" s="44" t="s">
        <v>358</v>
      </c>
      <c r="B62" s="44" t="s">
        <v>334</v>
      </c>
    </row>
    <row r="63" spans="1:2" x14ac:dyDescent="0.25">
      <c r="A63" s="44" t="s">
        <v>349</v>
      </c>
      <c r="B63" t="s">
        <v>327</v>
      </c>
    </row>
    <row r="64" spans="1:2" x14ac:dyDescent="0.25">
      <c r="A64" s="45" t="s">
        <v>58</v>
      </c>
      <c r="B64" s="46">
        <v>1344850</v>
      </c>
    </row>
    <row r="65" spans="1:2" x14ac:dyDescent="0.25">
      <c r="A65" s="45" t="s">
        <v>109</v>
      </c>
      <c r="B65" s="46">
        <v>1288700</v>
      </c>
    </row>
    <row r="66" spans="1:2" x14ac:dyDescent="0.25">
      <c r="A66" s="45" t="s">
        <v>51</v>
      </c>
      <c r="B66" s="46">
        <v>405000</v>
      </c>
    </row>
    <row r="67" spans="1:2" x14ac:dyDescent="0.25">
      <c r="A67" s="45" t="s">
        <v>60</v>
      </c>
      <c r="B67" s="46">
        <v>1144810</v>
      </c>
    </row>
    <row r="68" spans="1:2" x14ac:dyDescent="0.25">
      <c r="A68" s="45" t="s">
        <v>53</v>
      </c>
      <c r="B68" s="46">
        <v>335000</v>
      </c>
    </row>
    <row r="69" spans="1:2" x14ac:dyDescent="0.25">
      <c r="A69" s="45" t="s">
        <v>48</v>
      </c>
      <c r="B69" s="46">
        <v>7918061</v>
      </c>
    </row>
    <row r="71" spans="1:2" x14ac:dyDescent="0.25">
      <c r="A71" t="s">
        <v>44</v>
      </c>
    </row>
    <row r="73" spans="1:2" x14ac:dyDescent="0.25">
      <c r="A73" s="44" t="s">
        <v>358</v>
      </c>
      <c r="B73" s="44" t="s">
        <v>334</v>
      </c>
    </row>
    <row r="74" spans="1:2" x14ac:dyDescent="0.25">
      <c r="A74" s="44" t="s">
        <v>349</v>
      </c>
      <c r="B74" t="s">
        <v>327</v>
      </c>
    </row>
    <row r="75" spans="1:2" x14ac:dyDescent="0.25">
      <c r="A75" s="45" t="s">
        <v>355</v>
      </c>
      <c r="B75" s="46">
        <v>1940800</v>
      </c>
    </row>
    <row r="76" spans="1:2" x14ac:dyDescent="0.25">
      <c r="A76" s="45" t="s">
        <v>356</v>
      </c>
      <c r="B76" s="46">
        <v>9226221</v>
      </c>
    </row>
    <row r="77" spans="1:2" x14ac:dyDescent="0.25">
      <c r="A77" s="45" t="s">
        <v>357</v>
      </c>
      <c r="B77" s="46">
        <v>1269400</v>
      </c>
    </row>
    <row r="79" spans="1:2" x14ac:dyDescent="0.25">
      <c r="A79" t="s">
        <v>45</v>
      </c>
    </row>
    <row r="82" spans="1:2" x14ac:dyDescent="0.25">
      <c r="A82" s="44" t="s">
        <v>358</v>
      </c>
      <c r="B82" s="44" t="s">
        <v>334</v>
      </c>
    </row>
    <row r="83" spans="1:2" x14ac:dyDescent="0.25">
      <c r="A83" s="44" t="s">
        <v>349</v>
      </c>
      <c r="B83" t="s">
        <v>327</v>
      </c>
    </row>
    <row r="84" spans="1:2" x14ac:dyDescent="0.25">
      <c r="A84" s="45" t="s">
        <v>201</v>
      </c>
      <c r="B84" s="46">
        <v>4351700</v>
      </c>
    </row>
    <row r="85" spans="1:2" x14ac:dyDescent="0.25">
      <c r="A85" s="45" t="s">
        <v>193</v>
      </c>
      <c r="B85" s="46">
        <v>8084721</v>
      </c>
    </row>
  </sheetData>
  <pageMargins left="0.7" right="0.7" top="0.75" bottom="0.75" header="0.3" footer="0.3"/>
  <drawing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5B635-92B1-4E57-AE82-7AB417F2E17B}">
  <dimension ref="A1:M126"/>
  <sheetViews>
    <sheetView zoomScale="92" zoomScaleNormal="92" workbookViewId="0"/>
  </sheetViews>
  <sheetFormatPr defaultRowHeight="13.8" x14ac:dyDescent="0.25"/>
  <cols>
    <col min="1" max="1" width="14.8984375" bestFit="1" customWidth="1"/>
    <col min="2" max="2" width="11.796875" bestFit="1" customWidth="1"/>
    <col min="3" max="3" width="12.3984375" bestFit="1" customWidth="1"/>
    <col min="4" max="4" width="10.296875" bestFit="1" customWidth="1"/>
    <col min="5" max="5" width="15" bestFit="1" customWidth="1"/>
    <col min="6" max="6" width="13.296875" bestFit="1" customWidth="1"/>
    <col min="7" max="7" width="16.09765625" bestFit="1" customWidth="1"/>
    <col min="8" max="8" width="13.8984375" bestFit="1" customWidth="1"/>
    <col min="9" max="9" width="10.09765625" bestFit="1" customWidth="1"/>
    <col min="10" max="11" width="9.19921875" bestFit="1" customWidth="1"/>
    <col min="12" max="12" width="9.09765625" bestFit="1" customWidth="1"/>
    <col min="13" max="13" width="17.5" bestFit="1" customWidth="1"/>
  </cols>
  <sheetData>
    <row r="1" spans="1:13" ht="15.6" x14ac:dyDescent="0.3">
      <c r="A1" s="37" t="s">
        <v>324</v>
      </c>
      <c r="B1" s="38" t="s">
        <v>322</v>
      </c>
      <c r="C1" s="38" t="s">
        <v>323</v>
      </c>
      <c r="D1" s="38" t="s">
        <v>105</v>
      </c>
      <c r="E1" s="39" t="s">
        <v>104</v>
      </c>
      <c r="F1" s="39" t="s">
        <v>103</v>
      </c>
      <c r="G1" s="38" t="s">
        <v>328</v>
      </c>
      <c r="H1" s="38" t="s">
        <v>101</v>
      </c>
      <c r="I1" s="38" t="s">
        <v>100</v>
      </c>
      <c r="J1" s="38" t="s">
        <v>99</v>
      </c>
      <c r="K1" s="38" t="s">
        <v>98</v>
      </c>
      <c r="L1" s="38" t="s">
        <v>97</v>
      </c>
      <c r="M1" s="36" t="s">
        <v>325</v>
      </c>
    </row>
    <row r="2" spans="1:13" ht="15.6" x14ac:dyDescent="0.3">
      <c r="A2" s="26" t="s">
        <v>235</v>
      </c>
      <c r="B2" s="26" t="s">
        <v>240</v>
      </c>
      <c r="C2" s="26" t="s">
        <v>193</v>
      </c>
      <c r="D2" s="29" t="s">
        <v>48</v>
      </c>
      <c r="E2" s="29">
        <v>44610</v>
      </c>
      <c r="F2" s="29"/>
      <c r="G2" s="35">
        <v>425900</v>
      </c>
      <c r="H2" s="26">
        <v>5</v>
      </c>
      <c r="I2" s="26">
        <v>3</v>
      </c>
      <c r="J2" s="27">
        <v>2414</v>
      </c>
      <c r="K2" s="26" t="s">
        <v>327</v>
      </c>
      <c r="L2" s="26" t="s">
        <v>326</v>
      </c>
      <c r="M2" s="40">
        <v>176.42916321458162</v>
      </c>
    </row>
    <row r="3" spans="1:13" ht="15.6" x14ac:dyDescent="0.3">
      <c r="A3" s="26" t="s">
        <v>269</v>
      </c>
      <c r="B3" s="26" t="s">
        <v>240</v>
      </c>
      <c r="C3" s="26" t="s">
        <v>201</v>
      </c>
      <c r="D3" s="29" t="s">
        <v>48</v>
      </c>
      <c r="E3" s="29">
        <v>44774</v>
      </c>
      <c r="F3" s="29">
        <v>45171</v>
      </c>
      <c r="G3" s="35">
        <v>379000</v>
      </c>
      <c r="H3" s="26">
        <v>3</v>
      </c>
      <c r="I3" s="26">
        <v>3</v>
      </c>
      <c r="J3" s="27">
        <v>2354</v>
      </c>
      <c r="K3" s="26" t="s">
        <v>326</v>
      </c>
      <c r="L3" s="26" t="s">
        <v>327</v>
      </c>
      <c r="M3" s="40">
        <v>161.00254885301615</v>
      </c>
    </row>
    <row r="4" spans="1:13" ht="15.6" x14ac:dyDescent="0.3">
      <c r="A4" s="26" t="s">
        <v>270</v>
      </c>
      <c r="B4" s="26" t="s">
        <v>240</v>
      </c>
      <c r="C4" s="26" t="s">
        <v>201</v>
      </c>
      <c r="D4" s="29" t="s">
        <v>48</v>
      </c>
      <c r="E4" s="29">
        <v>44776</v>
      </c>
      <c r="F4" s="29">
        <v>45236</v>
      </c>
      <c r="G4" s="35">
        <v>345000</v>
      </c>
      <c r="H4" s="26">
        <v>4</v>
      </c>
      <c r="I4" s="26">
        <v>3</v>
      </c>
      <c r="J4" s="27">
        <v>2388</v>
      </c>
      <c r="K4" s="26" t="s">
        <v>327</v>
      </c>
      <c r="L4" s="26" t="s">
        <v>327</v>
      </c>
      <c r="M4" s="40">
        <v>144.47236180904522</v>
      </c>
    </row>
    <row r="5" spans="1:13" ht="15.6" x14ac:dyDescent="0.3">
      <c r="A5" s="26" t="s">
        <v>312</v>
      </c>
      <c r="B5" s="26" t="s">
        <v>278</v>
      </c>
      <c r="C5" s="26" t="s">
        <v>201</v>
      </c>
      <c r="D5" s="29" t="s">
        <v>48</v>
      </c>
      <c r="E5" s="29">
        <v>44809</v>
      </c>
      <c r="F5" s="29"/>
      <c r="G5" s="35">
        <v>249900</v>
      </c>
      <c r="H5" s="26">
        <v>2</v>
      </c>
      <c r="I5" s="26">
        <v>1</v>
      </c>
      <c r="J5" s="27">
        <v>1101</v>
      </c>
      <c r="K5" s="26" t="s">
        <v>326</v>
      </c>
      <c r="L5" s="26" t="s">
        <v>326</v>
      </c>
      <c r="M5" s="40">
        <v>226.97547683923705</v>
      </c>
    </row>
    <row r="6" spans="1:13" ht="15.6" x14ac:dyDescent="0.3">
      <c r="A6" s="26" t="s">
        <v>273</v>
      </c>
      <c r="B6" s="26" t="s">
        <v>240</v>
      </c>
      <c r="C6" s="26" t="s">
        <v>193</v>
      </c>
      <c r="D6" s="29" t="s">
        <v>48</v>
      </c>
      <c r="E6" s="29">
        <v>44795</v>
      </c>
      <c r="F6" s="29"/>
      <c r="G6" s="35">
        <v>1200500</v>
      </c>
      <c r="H6" s="26">
        <v>5</v>
      </c>
      <c r="I6" s="26">
        <v>5</v>
      </c>
      <c r="J6" s="27">
        <v>4696</v>
      </c>
      <c r="K6" s="26" t="s">
        <v>327</v>
      </c>
      <c r="L6" s="26" t="s">
        <v>326</v>
      </c>
      <c r="M6" s="40">
        <v>255.64310051107324</v>
      </c>
    </row>
    <row r="7" spans="1:13" ht="15.6" x14ac:dyDescent="0.3">
      <c r="A7" s="26" t="s">
        <v>301</v>
      </c>
      <c r="B7" s="26" t="s">
        <v>278</v>
      </c>
      <c r="C7" s="26" t="s">
        <v>193</v>
      </c>
      <c r="D7" s="29" t="s">
        <v>48</v>
      </c>
      <c r="E7" s="29">
        <v>44754</v>
      </c>
      <c r="F7" s="29"/>
      <c r="G7" s="35">
        <v>268500</v>
      </c>
      <c r="H7" s="26">
        <v>4</v>
      </c>
      <c r="I7" s="26">
        <v>2.5</v>
      </c>
      <c r="J7" s="27">
        <v>1911</v>
      </c>
      <c r="K7" s="26" t="s">
        <v>326</v>
      </c>
      <c r="L7" s="26" t="s">
        <v>326</v>
      </c>
      <c r="M7" s="40">
        <v>140.50235478806908</v>
      </c>
    </row>
    <row r="8" spans="1:13" ht="15.6" x14ac:dyDescent="0.3">
      <c r="A8" s="26" t="s">
        <v>248</v>
      </c>
      <c r="B8" s="26" t="s">
        <v>240</v>
      </c>
      <c r="C8" s="26" t="s">
        <v>201</v>
      </c>
      <c r="D8" s="29" t="s">
        <v>48</v>
      </c>
      <c r="E8" s="29">
        <v>44665</v>
      </c>
      <c r="F8" s="29"/>
      <c r="G8" s="35">
        <v>229900</v>
      </c>
      <c r="H8" s="26">
        <v>3</v>
      </c>
      <c r="I8" s="26">
        <v>3</v>
      </c>
      <c r="J8" s="27">
        <v>2266</v>
      </c>
      <c r="K8" s="26" t="s">
        <v>326</v>
      </c>
      <c r="L8" s="26" t="s">
        <v>326</v>
      </c>
      <c r="M8" s="40">
        <v>101.45631067961165</v>
      </c>
    </row>
    <row r="9" spans="1:13" ht="15.6" x14ac:dyDescent="0.3">
      <c r="A9" s="26" t="s">
        <v>220</v>
      </c>
      <c r="B9" s="26" t="s">
        <v>197</v>
      </c>
      <c r="C9" s="26" t="s">
        <v>201</v>
      </c>
      <c r="D9" s="29" t="s">
        <v>48</v>
      </c>
      <c r="E9" s="29">
        <v>44769</v>
      </c>
      <c r="F9" s="29"/>
      <c r="G9" s="35">
        <v>229500</v>
      </c>
      <c r="H9" s="26">
        <v>4</v>
      </c>
      <c r="I9" s="26">
        <v>2.5</v>
      </c>
      <c r="J9" s="27">
        <v>2284</v>
      </c>
      <c r="K9" s="26" t="s">
        <v>326</v>
      </c>
      <c r="L9" s="26" t="s">
        <v>326</v>
      </c>
      <c r="M9" s="40">
        <v>100.48161120840631</v>
      </c>
    </row>
    <row r="10" spans="1:13" ht="15.6" x14ac:dyDescent="0.3">
      <c r="A10" s="26" t="s">
        <v>264</v>
      </c>
      <c r="B10" s="26" t="s">
        <v>240</v>
      </c>
      <c r="C10" s="26" t="s">
        <v>193</v>
      </c>
      <c r="D10" s="29" t="s">
        <v>48</v>
      </c>
      <c r="E10" s="29">
        <v>44757</v>
      </c>
      <c r="F10" s="29"/>
      <c r="G10" s="35">
        <v>349000</v>
      </c>
      <c r="H10" s="26">
        <v>4</v>
      </c>
      <c r="I10" s="26">
        <v>3</v>
      </c>
      <c r="J10" s="27">
        <v>3930</v>
      </c>
      <c r="K10" s="26" t="s">
        <v>327</v>
      </c>
      <c r="L10" s="26" t="s">
        <v>326</v>
      </c>
      <c r="M10" s="40">
        <v>88.804071246819333</v>
      </c>
    </row>
    <row r="11" spans="1:13" ht="15.6" x14ac:dyDescent="0.3">
      <c r="A11" s="26" t="s">
        <v>207</v>
      </c>
      <c r="B11" s="26" t="s">
        <v>197</v>
      </c>
      <c r="C11" s="26" t="s">
        <v>201</v>
      </c>
      <c r="D11" s="29" t="s">
        <v>109</v>
      </c>
      <c r="E11" s="29">
        <v>44669</v>
      </c>
      <c r="F11" s="29"/>
      <c r="G11" s="35">
        <v>236900</v>
      </c>
      <c r="H11" s="26">
        <v>1</v>
      </c>
      <c r="I11" s="26">
        <v>2</v>
      </c>
      <c r="J11" s="27">
        <v>1483</v>
      </c>
      <c r="K11" s="26" t="s">
        <v>326</v>
      </c>
      <c r="L11" s="26" t="s">
        <v>326</v>
      </c>
      <c r="M11" s="40">
        <v>159.74376264329064</v>
      </c>
    </row>
    <row r="12" spans="1:13" ht="15.6" x14ac:dyDescent="0.3">
      <c r="A12" s="26" t="s">
        <v>306</v>
      </c>
      <c r="B12" s="26" t="s">
        <v>278</v>
      </c>
      <c r="C12" s="26" t="s">
        <v>193</v>
      </c>
      <c r="D12" s="29" t="s">
        <v>58</v>
      </c>
      <c r="E12" s="29">
        <v>44778</v>
      </c>
      <c r="F12" s="29">
        <v>45285</v>
      </c>
      <c r="G12" s="35">
        <v>389900</v>
      </c>
      <c r="H12" s="26">
        <v>4</v>
      </c>
      <c r="I12" s="26">
        <v>2.5</v>
      </c>
      <c r="J12" s="27">
        <v>2284</v>
      </c>
      <c r="K12" s="26" t="s">
        <v>326</v>
      </c>
      <c r="L12" s="26" t="s">
        <v>327</v>
      </c>
      <c r="M12" s="40">
        <v>170.70928196147111</v>
      </c>
    </row>
    <row r="13" spans="1:13" ht="15.6" x14ac:dyDescent="0.3">
      <c r="A13" s="26" t="s">
        <v>275</v>
      </c>
      <c r="B13" s="26" t="s">
        <v>240</v>
      </c>
      <c r="C13" s="26" t="s">
        <v>201</v>
      </c>
      <c r="D13" s="29" t="s">
        <v>48</v>
      </c>
      <c r="E13" s="29">
        <v>44829</v>
      </c>
      <c r="F13" s="29">
        <v>45310</v>
      </c>
      <c r="G13" s="35">
        <v>349000</v>
      </c>
      <c r="H13" s="26">
        <v>3</v>
      </c>
      <c r="I13" s="26">
        <v>2.5</v>
      </c>
      <c r="J13" s="27">
        <v>1727</v>
      </c>
      <c r="K13" s="26" t="s">
        <v>327</v>
      </c>
      <c r="L13" s="26" t="s">
        <v>327</v>
      </c>
      <c r="M13" s="40">
        <v>202.08453966415749</v>
      </c>
    </row>
    <row r="14" spans="1:13" ht="15.6" x14ac:dyDescent="0.3">
      <c r="A14" s="26" t="s">
        <v>229</v>
      </c>
      <c r="B14" s="26" t="s">
        <v>197</v>
      </c>
      <c r="C14" s="26" t="s">
        <v>201</v>
      </c>
      <c r="D14" s="29" t="s">
        <v>48</v>
      </c>
      <c r="E14" s="29">
        <v>44813</v>
      </c>
      <c r="F14" s="29">
        <v>45299</v>
      </c>
      <c r="G14" s="35">
        <v>205500</v>
      </c>
      <c r="H14" s="26">
        <v>4</v>
      </c>
      <c r="I14" s="26">
        <v>2.5</v>
      </c>
      <c r="J14" s="27">
        <v>2036</v>
      </c>
      <c r="K14" s="26" t="s">
        <v>326</v>
      </c>
      <c r="L14" s="26" t="s">
        <v>327</v>
      </c>
      <c r="M14" s="40">
        <v>100.93320235756386</v>
      </c>
    </row>
    <row r="15" spans="1:13" ht="15.6" x14ac:dyDescent="0.3">
      <c r="A15" s="26" t="s">
        <v>274</v>
      </c>
      <c r="B15" s="26" t="s">
        <v>240</v>
      </c>
      <c r="C15" s="26" t="s">
        <v>201</v>
      </c>
      <c r="D15" s="29" t="s">
        <v>53</v>
      </c>
      <c r="E15" s="29">
        <v>44824</v>
      </c>
      <c r="F15" s="29"/>
      <c r="G15" s="35">
        <v>239900</v>
      </c>
      <c r="H15" s="26">
        <v>4</v>
      </c>
      <c r="I15" s="26">
        <v>3</v>
      </c>
      <c r="J15" s="27">
        <v>2041</v>
      </c>
      <c r="K15" s="26" t="s">
        <v>326</v>
      </c>
      <c r="L15" s="26" t="s">
        <v>326</v>
      </c>
      <c r="M15" s="40">
        <v>117.54042136207741</v>
      </c>
    </row>
    <row r="16" spans="1:13" ht="15.6" x14ac:dyDescent="0.3">
      <c r="A16" s="26" t="s">
        <v>286</v>
      </c>
      <c r="B16" s="26" t="s">
        <v>278</v>
      </c>
      <c r="C16" s="26" t="s">
        <v>193</v>
      </c>
      <c r="D16" s="29" t="s">
        <v>51</v>
      </c>
      <c r="E16" s="29">
        <v>44665</v>
      </c>
      <c r="F16" s="29"/>
      <c r="G16" s="35">
        <v>375000</v>
      </c>
      <c r="H16" s="26">
        <v>4</v>
      </c>
      <c r="I16" s="26">
        <v>3</v>
      </c>
      <c r="J16" s="27">
        <v>2467</v>
      </c>
      <c r="K16" s="26" t="s">
        <v>327</v>
      </c>
      <c r="L16" s="26" t="s">
        <v>326</v>
      </c>
      <c r="M16" s="40">
        <v>152.00648561005269</v>
      </c>
    </row>
    <row r="17" spans="1:13" ht="15.6" x14ac:dyDescent="0.3">
      <c r="A17" s="26" t="s">
        <v>305</v>
      </c>
      <c r="B17" s="26" t="s">
        <v>278</v>
      </c>
      <c r="C17" s="26" t="s">
        <v>193</v>
      </c>
      <c r="D17" s="29" t="s">
        <v>48</v>
      </c>
      <c r="E17" s="29">
        <v>44773</v>
      </c>
      <c r="F17" s="29">
        <v>45254</v>
      </c>
      <c r="G17" s="35">
        <v>242500</v>
      </c>
      <c r="H17" s="26">
        <v>3</v>
      </c>
      <c r="I17" s="26">
        <v>2.5</v>
      </c>
      <c r="J17" s="27">
        <v>1902</v>
      </c>
      <c r="K17" s="26" t="s">
        <v>326</v>
      </c>
      <c r="L17" s="26" t="s">
        <v>327</v>
      </c>
      <c r="M17" s="40">
        <v>127.49737118822293</v>
      </c>
    </row>
    <row r="18" spans="1:13" ht="15.6" x14ac:dyDescent="0.3">
      <c r="A18" s="26" t="s">
        <v>252</v>
      </c>
      <c r="B18" s="26" t="s">
        <v>240</v>
      </c>
      <c r="C18" s="26" t="s">
        <v>193</v>
      </c>
      <c r="D18" s="29" t="s">
        <v>48</v>
      </c>
      <c r="E18" s="29">
        <v>44675</v>
      </c>
      <c r="F18" s="29">
        <v>45164</v>
      </c>
      <c r="G18" s="35">
        <v>349900</v>
      </c>
      <c r="H18" s="26">
        <v>4</v>
      </c>
      <c r="I18" s="26">
        <v>3</v>
      </c>
      <c r="J18" s="27">
        <v>2290</v>
      </c>
      <c r="K18" s="26" t="s">
        <v>327</v>
      </c>
      <c r="L18" s="26" t="s">
        <v>327</v>
      </c>
      <c r="M18" s="40">
        <v>152.7947598253275</v>
      </c>
    </row>
    <row r="19" spans="1:13" ht="15.6" x14ac:dyDescent="0.3">
      <c r="A19" s="26" t="s">
        <v>211</v>
      </c>
      <c r="B19" s="26" t="s">
        <v>197</v>
      </c>
      <c r="C19" s="26" t="s">
        <v>201</v>
      </c>
      <c r="D19" s="29" t="s">
        <v>48</v>
      </c>
      <c r="E19" s="29">
        <v>44700</v>
      </c>
      <c r="F19" s="29">
        <v>44895</v>
      </c>
      <c r="G19" s="35">
        <v>249000</v>
      </c>
      <c r="H19" s="26">
        <v>3</v>
      </c>
      <c r="I19" s="26">
        <v>2.5</v>
      </c>
      <c r="J19" s="27">
        <v>1730</v>
      </c>
      <c r="K19" s="26" t="s">
        <v>326</v>
      </c>
      <c r="L19" s="26" t="s">
        <v>327</v>
      </c>
      <c r="M19" s="40">
        <v>143.93063583815029</v>
      </c>
    </row>
    <row r="20" spans="1:13" ht="15.6" x14ac:dyDescent="0.3">
      <c r="A20" s="26" t="s">
        <v>221</v>
      </c>
      <c r="B20" s="26" t="s">
        <v>197</v>
      </c>
      <c r="C20" s="26" t="s">
        <v>201</v>
      </c>
      <c r="D20" s="29" t="s">
        <v>48</v>
      </c>
      <c r="E20" s="29">
        <v>44769</v>
      </c>
      <c r="F20" s="29"/>
      <c r="G20" s="35">
        <v>229500</v>
      </c>
      <c r="H20" s="26">
        <v>4</v>
      </c>
      <c r="I20" s="26">
        <v>2.5</v>
      </c>
      <c r="J20" s="27">
        <v>2284</v>
      </c>
      <c r="K20" s="26" t="s">
        <v>326</v>
      </c>
      <c r="L20" s="26" t="s">
        <v>326</v>
      </c>
      <c r="M20" s="40">
        <v>100.48161120840631</v>
      </c>
    </row>
    <row r="21" spans="1:13" ht="15.6" x14ac:dyDescent="0.3">
      <c r="A21" s="26" t="s">
        <v>224</v>
      </c>
      <c r="B21" s="26" t="s">
        <v>197</v>
      </c>
      <c r="C21" s="26" t="s">
        <v>193</v>
      </c>
      <c r="D21" s="29" t="s">
        <v>48</v>
      </c>
      <c r="E21" s="29">
        <v>44787</v>
      </c>
      <c r="F21" s="29"/>
      <c r="G21" s="35">
        <v>317500</v>
      </c>
      <c r="H21" s="26">
        <v>4</v>
      </c>
      <c r="I21" s="26">
        <v>3</v>
      </c>
      <c r="J21" s="27">
        <v>2367</v>
      </c>
      <c r="K21" s="26" t="s">
        <v>326</v>
      </c>
      <c r="L21" s="26" t="s">
        <v>326</v>
      </c>
      <c r="M21" s="40">
        <v>134.13603717786228</v>
      </c>
    </row>
    <row r="22" spans="1:13" ht="15.6" x14ac:dyDescent="0.3">
      <c r="A22" s="26" t="s">
        <v>303</v>
      </c>
      <c r="B22" s="26" t="s">
        <v>278</v>
      </c>
      <c r="C22" s="26" t="s">
        <v>193</v>
      </c>
      <c r="D22" s="29" t="s">
        <v>48</v>
      </c>
      <c r="E22" s="29">
        <v>44767</v>
      </c>
      <c r="F22" s="29"/>
      <c r="G22" s="35">
        <v>338876</v>
      </c>
      <c r="H22" s="26">
        <v>4</v>
      </c>
      <c r="I22" s="26">
        <v>3</v>
      </c>
      <c r="J22" s="27">
        <v>2483</v>
      </c>
      <c r="K22" s="26" t="s">
        <v>327</v>
      </c>
      <c r="L22" s="26" t="s">
        <v>326</v>
      </c>
      <c r="M22" s="40">
        <v>136.47845348368909</v>
      </c>
    </row>
    <row r="23" spans="1:13" ht="15.6" x14ac:dyDescent="0.3">
      <c r="A23" s="26" t="s">
        <v>295</v>
      </c>
      <c r="B23" s="26" t="s">
        <v>278</v>
      </c>
      <c r="C23" s="26" t="s">
        <v>201</v>
      </c>
      <c r="D23" s="29" t="s">
        <v>58</v>
      </c>
      <c r="E23" s="29">
        <v>44707</v>
      </c>
      <c r="F23" s="29"/>
      <c r="G23" s="35">
        <v>119000</v>
      </c>
      <c r="H23" s="26">
        <v>1</v>
      </c>
      <c r="I23" s="26">
        <v>1</v>
      </c>
      <c r="J23" s="27">
        <v>950</v>
      </c>
      <c r="K23" s="26" t="s">
        <v>326</v>
      </c>
      <c r="L23" s="26" t="s">
        <v>326</v>
      </c>
      <c r="M23" s="40">
        <v>125.26315789473684</v>
      </c>
    </row>
    <row r="24" spans="1:13" ht="15.6" x14ac:dyDescent="0.3">
      <c r="A24" s="26" t="s">
        <v>249</v>
      </c>
      <c r="B24" s="26" t="s">
        <v>240</v>
      </c>
      <c r="C24" s="26" t="s">
        <v>201</v>
      </c>
      <c r="D24" s="29" t="s">
        <v>48</v>
      </c>
      <c r="E24" s="29">
        <v>44665</v>
      </c>
      <c r="F24" s="29">
        <v>44861</v>
      </c>
      <c r="G24" s="35">
        <v>259900</v>
      </c>
      <c r="H24" s="26">
        <v>3</v>
      </c>
      <c r="I24" s="26">
        <v>2.5</v>
      </c>
      <c r="J24" s="27">
        <v>2122</v>
      </c>
      <c r="K24" s="26" t="s">
        <v>326</v>
      </c>
      <c r="L24" s="26" t="s">
        <v>327</v>
      </c>
      <c r="M24" s="40">
        <v>122.47879359095194</v>
      </c>
    </row>
    <row r="25" spans="1:13" ht="15.6" x14ac:dyDescent="0.3">
      <c r="A25" s="26" t="s">
        <v>277</v>
      </c>
      <c r="B25" s="26" t="s">
        <v>278</v>
      </c>
      <c r="C25" s="26" t="s">
        <v>193</v>
      </c>
      <c r="D25" s="29" t="s">
        <v>60</v>
      </c>
      <c r="E25" s="29">
        <v>44606</v>
      </c>
      <c r="F25" s="29">
        <v>45028</v>
      </c>
      <c r="G25" s="35">
        <v>354000</v>
      </c>
      <c r="H25" s="26">
        <v>4</v>
      </c>
      <c r="I25" s="26">
        <v>2</v>
      </c>
      <c r="J25" s="27">
        <v>2088</v>
      </c>
      <c r="K25" s="26" t="s">
        <v>326</v>
      </c>
      <c r="L25" s="26" t="s">
        <v>327</v>
      </c>
      <c r="M25" s="40">
        <v>169.54022988505747</v>
      </c>
    </row>
    <row r="26" spans="1:13" ht="15.6" x14ac:dyDescent="0.3">
      <c r="A26" s="26" t="s">
        <v>250</v>
      </c>
      <c r="B26" s="26" t="s">
        <v>240</v>
      </c>
      <c r="C26" s="26" t="s">
        <v>201</v>
      </c>
      <c r="D26" s="29" t="s">
        <v>48</v>
      </c>
      <c r="E26" s="29">
        <v>44666</v>
      </c>
      <c r="F26" s="29">
        <v>45119</v>
      </c>
      <c r="G26" s="35">
        <v>238000</v>
      </c>
      <c r="H26" s="26">
        <v>4</v>
      </c>
      <c r="I26" s="26">
        <v>2.5</v>
      </c>
      <c r="J26" s="27">
        <v>1590</v>
      </c>
      <c r="K26" s="26" t="s">
        <v>326</v>
      </c>
      <c r="L26" s="26" t="s">
        <v>327</v>
      </c>
      <c r="M26" s="40">
        <v>149.68553459119497</v>
      </c>
    </row>
    <row r="27" spans="1:13" ht="15.6" x14ac:dyDescent="0.3">
      <c r="A27" s="26" t="s">
        <v>318</v>
      </c>
      <c r="B27" s="26" t="s">
        <v>278</v>
      </c>
      <c r="C27" s="26" t="s">
        <v>193</v>
      </c>
      <c r="D27" s="29" t="s">
        <v>53</v>
      </c>
      <c r="E27" s="29">
        <v>44836</v>
      </c>
      <c r="F27" s="29"/>
      <c r="G27" s="35">
        <v>272500</v>
      </c>
      <c r="H27" s="26">
        <v>4</v>
      </c>
      <c r="I27" s="26">
        <v>3</v>
      </c>
      <c r="J27" s="27">
        <v>2006</v>
      </c>
      <c r="K27" s="26" t="s">
        <v>326</v>
      </c>
      <c r="L27" s="26" t="s">
        <v>326</v>
      </c>
      <c r="M27" s="40">
        <v>135.84247258225324</v>
      </c>
    </row>
    <row r="28" spans="1:13" ht="15.6" x14ac:dyDescent="0.3">
      <c r="A28" s="26" t="s">
        <v>199</v>
      </c>
      <c r="B28" s="26" t="s">
        <v>197</v>
      </c>
      <c r="C28" s="26" t="s">
        <v>193</v>
      </c>
      <c r="D28" s="29" t="s">
        <v>48</v>
      </c>
      <c r="E28" s="29">
        <v>44639</v>
      </c>
      <c r="F28" s="29"/>
      <c r="G28" s="35">
        <v>247500</v>
      </c>
      <c r="H28" s="26">
        <v>4</v>
      </c>
      <c r="I28" s="26">
        <v>3</v>
      </c>
      <c r="J28" s="27">
        <v>2000</v>
      </c>
      <c r="K28" s="26" t="s">
        <v>326</v>
      </c>
      <c r="L28" s="26" t="s">
        <v>326</v>
      </c>
      <c r="M28" s="40">
        <v>123.75</v>
      </c>
    </row>
    <row r="29" spans="1:13" ht="15.6" x14ac:dyDescent="0.3">
      <c r="A29" s="26" t="s">
        <v>198</v>
      </c>
      <c r="B29" s="26" t="s">
        <v>197</v>
      </c>
      <c r="C29" s="26" t="s">
        <v>193</v>
      </c>
      <c r="D29" s="29" t="s">
        <v>48</v>
      </c>
      <c r="E29" s="29">
        <v>44636</v>
      </c>
      <c r="F29" s="29"/>
      <c r="G29" s="35">
        <v>325000</v>
      </c>
      <c r="H29" s="26">
        <v>4</v>
      </c>
      <c r="I29" s="26">
        <v>3</v>
      </c>
      <c r="J29" s="27">
        <v>2770</v>
      </c>
      <c r="K29" s="26" t="s">
        <v>326</v>
      </c>
      <c r="L29" s="26" t="s">
        <v>326</v>
      </c>
      <c r="M29" s="40">
        <v>117.32851985559567</v>
      </c>
    </row>
    <row r="30" spans="1:13" ht="15.6" x14ac:dyDescent="0.3">
      <c r="A30" s="26" t="s">
        <v>259</v>
      </c>
      <c r="B30" s="26" t="s">
        <v>240</v>
      </c>
      <c r="C30" s="26" t="s">
        <v>201</v>
      </c>
      <c r="D30" s="29" t="s">
        <v>48</v>
      </c>
      <c r="E30" s="29">
        <v>44723</v>
      </c>
      <c r="F30" s="29"/>
      <c r="G30" s="35">
        <v>235990</v>
      </c>
      <c r="H30" s="26">
        <v>4</v>
      </c>
      <c r="I30" s="26">
        <v>2</v>
      </c>
      <c r="J30" s="27">
        <v>1656</v>
      </c>
      <c r="K30" s="26" t="s">
        <v>327</v>
      </c>
      <c r="L30" s="26" t="s">
        <v>326</v>
      </c>
      <c r="M30" s="40">
        <v>142.50603864734299</v>
      </c>
    </row>
    <row r="31" spans="1:13" ht="15.6" x14ac:dyDescent="0.3">
      <c r="A31" s="26" t="s">
        <v>225</v>
      </c>
      <c r="B31" s="26" t="s">
        <v>197</v>
      </c>
      <c r="C31" s="26" t="s">
        <v>193</v>
      </c>
      <c r="D31" s="29" t="s">
        <v>58</v>
      </c>
      <c r="E31" s="29">
        <v>44792</v>
      </c>
      <c r="F31" s="29"/>
      <c r="G31" s="35">
        <v>229500</v>
      </c>
      <c r="H31" s="26">
        <v>3</v>
      </c>
      <c r="I31" s="26">
        <v>2</v>
      </c>
      <c r="J31" s="27">
        <v>1694</v>
      </c>
      <c r="K31" s="26" t="s">
        <v>326</v>
      </c>
      <c r="L31" s="26" t="s">
        <v>326</v>
      </c>
      <c r="M31" s="40">
        <v>135.47815820543093</v>
      </c>
    </row>
    <row r="32" spans="1:13" ht="15.6" x14ac:dyDescent="0.3">
      <c r="A32" s="26" t="s">
        <v>218</v>
      </c>
      <c r="B32" s="26" t="s">
        <v>197</v>
      </c>
      <c r="C32" s="26" t="s">
        <v>193</v>
      </c>
      <c r="D32" s="29" t="s">
        <v>51</v>
      </c>
      <c r="E32" s="29">
        <v>44747</v>
      </c>
      <c r="F32" s="29"/>
      <c r="G32" s="35">
        <v>205500</v>
      </c>
      <c r="H32" s="26">
        <v>4</v>
      </c>
      <c r="I32" s="26">
        <v>2.5</v>
      </c>
      <c r="J32" s="27">
        <v>1751</v>
      </c>
      <c r="K32" s="26" t="s">
        <v>326</v>
      </c>
      <c r="L32" s="26" t="s">
        <v>326</v>
      </c>
      <c r="M32" s="40">
        <v>117.36150770988007</v>
      </c>
    </row>
    <row r="33" spans="1:13" ht="15.6" x14ac:dyDescent="0.3">
      <c r="A33" s="26" t="s">
        <v>236</v>
      </c>
      <c r="B33" s="26" t="s">
        <v>240</v>
      </c>
      <c r="C33" s="26" t="s">
        <v>201</v>
      </c>
      <c r="D33" s="29" t="s">
        <v>109</v>
      </c>
      <c r="E33" s="29">
        <v>44620</v>
      </c>
      <c r="F33" s="29"/>
      <c r="G33" s="35">
        <v>299000</v>
      </c>
      <c r="H33" s="26">
        <v>3</v>
      </c>
      <c r="I33" s="26">
        <v>2</v>
      </c>
      <c r="J33" s="27">
        <v>2050</v>
      </c>
      <c r="K33" s="26" t="s">
        <v>326</v>
      </c>
      <c r="L33" s="26" t="s">
        <v>326</v>
      </c>
      <c r="M33" s="40">
        <v>145.85365853658536</v>
      </c>
    </row>
    <row r="34" spans="1:13" ht="15.6" x14ac:dyDescent="0.3">
      <c r="A34" s="26" t="s">
        <v>223</v>
      </c>
      <c r="B34" s="26" t="s">
        <v>197</v>
      </c>
      <c r="C34" s="26" t="s">
        <v>193</v>
      </c>
      <c r="D34" s="29" t="s">
        <v>48</v>
      </c>
      <c r="E34" s="29">
        <v>44778</v>
      </c>
      <c r="F34" s="29">
        <v>45045</v>
      </c>
      <c r="G34" s="35">
        <v>225911</v>
      </c>
      <c r="H34" s="26">
        <v>4</v>
      </c>
      <c r="I34" s="26">
        <v>2.5</v>
      </c>
      <c r="J34" s="27">
        <v>1908</v>
      </c>
      <c r="K34" s="26" t="s">
        <v>326</v>
      </c>
      <c r="L34" s="26" t="s">
        <v>327</v>
      </c>
      <c r="M34" s="40">
        <v>118.40199161425576</v>
      </c>
    </row>
    <row r="35" spans="1:13" ht="15.6" x14ac:dyDescent="0.3">
      <c r="A35" s="26" t="s">
        <v>228</v>
      </c>
      <c r="B35" s="26" t="s">
        <v>197</v>
      </c>
      <c r="C35" s="26" t="s">
        <v>193</v>
      </c>
      <c r="D35" s="29" t="s">
        <v>48</v>
      </c>
      <c r="E35" s="29">
        <v>44799</v>
      </c>
      <c r="F35" s="29"/>
      <c r="G35" s="35">
        <v>245000</v>
      </c>
      <c r="H35" s="26">
        <v>4</v>
      </c>
      <c r="I35" s="26">
        <v>3</v>
      </c>
      <c r="J35" s="27">
        <v>2084</v>
      </c>
      <c r="K35" s="26" t="s">
        <v>326</v>
      </c>
      <c r="L35" s="26" t="s">
        <v>326</v>
      </c>
      <c r="M35" s="40">
        <v>117.56238003838772</v>
      </c>
    </row>
    <row r="36" spans="1:13" ht="15.6" x14ac:dyDescent="0.3">
      <c r="A36" s="26" t="s">
        <v>231</v>
      </c>
      <c r="B36" s="26" t="s">
        <v>197</v>
      </c>
      <c r="C36" s="26" t="s">
        <v>193</v>
      </c>
      <c r="D36" s="29" t="s">
        <v>48</v>
      </c>
      <c r="E36" s="29">
        <v>44826</v>
      </c>
      <c r="F36" s="29">
        <v>45056</v>
      </c>
      <c r="G36" s="35">
        <v>289000</v>
      </c>
      <c r="H36" s="26">
        <v>3</v>
      </c>
      <c r="I36" s="26">
        <v>2</v>
      </c>
      <c r="J36" s="27">
        <v>1627</v>
      </c>
      <c r="K36" s="26" t="s">
        <v>326</v>
      </c>
      <c r="L36" s="26" t="s">
        <v>327</v>
      </c>
      <c r="M36" s="40">
        <v>177.62753534111863</v>
      </c>
    </row>
    <row r="37" spans="1:13" ht="15.6" x14ac:dyDescent="0.3">
      <c r="A37" s="26" t="s">
        <v>194</v>
      </c>
      <c r="B37" s="26" t="s">
        <v>197</v>
      </c>
      <c r="C37" s="26" t="s">
        <v>193</v>
      </c>
      <c r="D37" s="29" t="s">
        <v>48</v>
      </c>
      <c r="E37" s="29">
        <v>44613</v>
      </c>
      <c r="F37" s="29"/>
      <c r="G37" s="35">
        <v>269900</v>
      </c>
      <c r="H37" s="26">
        <v>4</v>
      </c>
      <c r="I37" s="26">
        <v>2.5</v>
      </c>
      <c r="J37" s="27">
        <v>1911</v>
      </c>
      <c r="K37" s="26" t="s">
        <v>326</v>
      </c>
      <c r="L37" s="26" t="s">
        <v>326</v>
      </c>
      <c r="M37" s="40">
        <v>141.23495552066981</v>
      </c>
    </row>
    <row r="38" spans="1:13" ht="15.6" x14ac:dyDescent="0.3">
      <c r="A38" s="26" t="s">
        <v>272</v>
      </c>
      <c r="B38" s="26" t="s">
        <v>240</v>
      </c>
      <c r="C38" s="26" t="s">
        <v>201</v>
      </c>
      <c r="D38" s="29" t="s">
        <v>48</v>
      </c>
      <c r="E38" s="29">
        <v>44789</v>
      </c>
      <c r="F38" s="29"/>
      <c r="G38" s="35">
        <v>264900</v>
      </c>
      <c r="H38" s="26">
        <v>3</v>
      </c>
      <c r="I38" s="26">
        <v>2.5</v>
      </c>
      <c r="J38" s="27">
        <v>2062</v>
      </c>
      <c r="K38" s="26" t="s">
        <v>326</v>
      </c>
      <c r="L38" s="26" t="s">
        <v>326</v>
      </c>
      <c r="M38" s="40">
        <v>128.4675072744908</v>
      </c>
    </row>
    <row r="39" spans="1:13" ht="15.6" x14ac:dyDescent="0.3">
      <c r="A39" s="26" t="s">
        <v>246</v>
      </c>
      <c r="B39" s="26" t="s">
        <v>240</v>
      </c>
      <c r="C39" s="26" t="s">
        <v>201</v>
      </c>
      <c r="D39" s="29" t="s">
        <v>109</v>
      </c>
      <c r="E39" s="29">
        <v>44659</v>
      </c>
      <c r="F39" s="29">
        <v>44864</v>
      </c>
      <c r="G39" s="35">
        <v>259900</v>
      </c>
      <c r="H39" s="26">
        <v>4</v>
      </c>
      <c r="I39" s="26">
        <v>3</v>
      </c>
      <c r="J39" s="27">
        <v>1734</v>
      </c>
      <c r="K39" s="26" t="s">
        <v>326</v>
      </c>
      <c r="L39" s="26" t="s">
        <v>327</v>
      </c>
      <c r="M39" s="40">
        <v>149.88465974625143</v>
      </c>
    </row>
    <row r="40" spans="1:13" ht="15.6" x14ac:dyDescent="0.3">
      <c r="A40" s="26" t="s">
        <v>204</v>
      </c>
      <c r="B40" s="26" t="s">
        <v>197</v>
      </c>
      <c r="C40" s="26" t="s">
        <v>193</v>
      </c>
      <c r="D40" s="29" t="s">
        <v>48</v>
      </c>
      <c r="E40" s="29">
        <v>44665</v>
      </c>
      <c r="F40" s="29">
        <v>45043</v>
      </c>
      <c r="G40" s="35">
        <v>208750</v>
      </c>
      <c r="H40" s="26">
        <v>4</v>
      </c>
      <c r="I40" s="26">
        <v>3</v>
      </c>
      <c r="J40" s="27">
        <v>2207</v>
      </c>
      <c r="K40" s="26" t="s">
        <v>327</v>
      </c>
      <c r="L40" s="26" t="s">
        <v>327</v>
      </c>
      <c r="M40" s="40">
        <v>94.585410058903491</v>
      </c>
    </row>
    <row r="41" spans="1:13" ht="15.6" x14ac:dyDescent="0.3">
      <c r="A41" s="26" t="s">
        <v>302</v>
      </c>
      <c r="B41" s="26" t="s">
        <v>278</v>
      </c>
      <c r="C41" s="26" t="s">
        <v>193</v>
      </c>
      <c r="D41" s="29" t="s">
        <v>48</v>
      </c>
      <c r="E41" s="29">
        <v>44767</v>
      </c>
      <c r="F41" s="29"/>
      <c r="G41" s="35">
        <v>309950</v>
      </c>
      <c r="H41" s="26">
        <v>4</v>
      </c>
      <c r="I41" s="26">
        <v>3</v>
      </c>
      <c r="J41" s="27">
        <v>2800</v>
      </c>
      <c r="K41" s="26" t="s">
        <v>327</v>
      </c>
      <c r="L41" s="26" t="s">
        <v>326</v>
      </c>
      <c r="M41" s="40">
        <v>110.69642857142857</v>
      </c>
    </row>
    <row r="42" spans="1:13" ht="15.6" x14ac:dyDescent="0.3">
      <c r="A42" s="26" t="s">
        <v>251</v>
      </c>
      <c r="B42" s="26" t="s">
        <v>240</v>
      </c>
      <c r="C42" s="26" t="s">
        <v>193</v>
      </c>
      <c r="D42" s="29" t="s">
        <v>51</v>
      </c>
      <c r="E42" s="29">
        <v>44668</v>
      </c>
      <c r="F42" s="29">
        <v>44872</v>
      </c>
      <c r="G42" s="35">
        <v>405000</v>
      </c>
      <c r="H42" s="26">
        <v>3</v>
      </c>
      <c r="I42" s="26">
        <v>3</v>
      </c>
      <c r="J42" s="27">
        <v>2444</v>
      </c>
      <c r="K42" s="26" t="s">
        <v>327</v>
      </c>
      <c r="L42" s="26" t="s">
        <v>327</v>
      </c>
      <c r="M42" s="40">
        <v>165.71194762684124</v>
      </c>
    </row>
    <row r="43" spans="1:13" ht="15.6" x14ac:dyDescent="0.3">
      <c r="A43" s="26" t="s">
        <v>268</v>
      </c>
      <c r="B43" s="26" t="s">
        <v>240</v>
      </c>
      <c r="C43" s="26" t="s">
        <v>193</v>
      </c>
      <c r="D43" s="29" t="s">
        <v>48</v>
      </c>
      <c r="E43" s="29">
        <v>44771</v>
      </c>
      <c r="F43" s="29"/>
      <c r="G43" s="35">
        <v>349000</v>
      </c>
      <c r="H43" s="26">
        <v>3</v>
      </c>
      <c r="I43" s="26">
        <v>2.5</v>
      </c>
      <c r="J43" s="27">
        <v>2000</v>
      </c>
      <c r="K43" s="26" t="s">
        <v>327</v>
      </c>
      <c r="L43" s="26" t="s">
        <v>326</v>
      </c>
      <c r="M43" s="40">
        <v>174.5</v>
      </c>
    </row>
    <row r="44" spans="1:13" ht="15.6" x14ac:dyDescent="0.3">
      <c r="A44" s="26" t="s">
        <v>284</v>
      </c>
      <c r="B44" s="26" t="s">
        <v>278</v>
      </c>
      <c r="C44" s="26" t="s">
        <v>193</v>
      </c>
      <c r="D44" s="29" t="s">
        <v>48</v>
      </c>
      <c r="E44" s="29">
        <v>44651</v>
      </c>
      <c r="F44" s="29"/>
      <c r="G44" s="35">
        <v>365000</v>
      </c>
      <c r="H44" s="26">
        <v>3</v>
      </c>
      <c r="I44" s="26">
        <v>2.5</v>
      </c>
      <c r="J44" s="27">
        <v>1871</v>
      </c>
      <c r="K44" s="26" t="s">
        <v>326</v>
      </c>
      <c r="L44" s="26" t="s">
        <v>326</v>
      </c>
      <c r="M44" s="40">
        <v>195.08284339925174</v>
      </c>
    </row>
    <row r="45" spans="1:13" ht="15.6" x14ac:dyDescent="0.3">
      <c r="A45" s="26" t="s">
        <v>279</v>
      </c>
      <c r="B45" s="26" t="s">
        <v>278</v>
      </c>
      <c r="C45" s="26" t="s">
        <v>201</v>
      </c>
      <c r="D45" s="29" t="s">
        <v>60</v>
      </c>
      <c r="E45" s="29">
        <v>44612</v>
      </c>
      <c r="F45" s="29"/>
      <c r="G45" s="35">
        <v>239900</v>
      </c>
      <c r="H45" s="26">
        <v>2</v>
      </c>
      <c r="I45" s="26">
        <v>2</v>
      </c>
      <c r="J45" s="27">
        <v>1248</v>
      </c>
      <c r="K45" s="26" t="s">
        <v>326</v>
      </c>
      <c r="L45" s="26" t="s">
        <v>326</v>
      </c>
      <c r="M45" s="40">
        <v>192.22756410256412</v>
      </c>
    </row>
    <row r="46" spans="1:13" ht="15.6" x14ac:dyDescent="0.3">
      <c r="A46" s="26" t="s">
        <v>233</v>
      </c>
      <c r="B46" s="26" t="s">
        <v>197</v>
      </c>
      <c r="C46" s="26" t="s">
        <v>201</v>
      </c>
      <c r="D46" s="29" t="s">
        <v>48</v>
      </c>
      <c r="E46" s="29">
        <v>44845</v>
      </c>
      <c r="F46" s="29"/>
      <c r="G46" s="35">
        <v>264900</v>
      </c>
      <c r="H46" s="26">
        <v>4</v>
      </c>
      <c r="I46" s="26">
        <v>2.5</v>
      </c>
      <c r="J46" s="27">
        <v>2488</v>
      </c>
      <c r="K46" s="26" t="s">
        <v>326</v>
      </c>
      <c r="L46" s="26" t="s">
        <v>326</v>
      </c>
      <c r="M46" s="40">
        <v>106.47106109324758</v>
      </c>
    </row>
    <row r="47" spans="1:13" ht="15.6" x14ac:dyDescent="0.3">
      <c r="A47" s="26" t="s">
        <v>311</v>
      </c>
      <c r="B47" s="26" t="s">
        <v>278</v>
      </c>
      <c r="C47" s="26" t="s">
        <v>193</v>
      </c>
      <c r="D47" s="29" t="s">
        <v>53</v>
      </c>
      <c r="E47" s="29">
        <v>44801</v>
      </c>
      <c r="F47" s="29"/>
      <c r="G47" s="35">
        <v>239900</v>
      </c>
      <c r="H47" s="26">
        <v>4</v>
      </c>
      <c r="I47" s="26">
        <v>3</v>
      </c>
      <c r="J47" s="27">
        <v>2278</v>
      </c>
      <c r="K47" s="26" t="s">
        <v>326</v>
      </c>
      <c r="L47" s="26" t="s">
        <v>326</v>
      </c>
      <c r="M47" s="40">
        <v>105.3116769095698</v>
      </c>
    </row>
    <row r="48" spans="1:13" ht="15.6" x14ac:dyDescent="0.3">
      <c r="A48" s="26" t="s">
        <v>245</v>
      </c>
      <c r="B48" s="26" t="s">
        <v>240</v>
      </c>
      <c r="C48" s="26" t="s">
        <v>193</v>
      </c>
      <c r="D48" s="29" t="s">
        <v>109</v>
      </c>
      <c r="E48" s="29">
        <v>44659</v>
      </c>
      <c r="F48" s="29">
        <v>45139</v>
      </c>
      <c r="G48" s="35">
        <v>339900</v>
      </c>
      <c r="H48" s="26">
        <v>3</v>
      </c>
      <c r="I48" s="26">
        <v>2</v>
      </c>
      <c r="J48" s="27">
        <v>1828</v>
      </c>
      <c r="K48" s="26" t="s">
        <v>327</v>
      </c>
      <c r="L48" s="26" t="s">
        <v>327</v>
      </c>
      <c r="M48" s="40">
        <v>185.94091903719914</v>
      </c>
    </row>
    <row r="49" spans="1:13" ht="15.6" x14ac:dyDescent="0.3">
      <c r="A49" s="26" t="s">
        <v>226</v>
      </c>
      <c r="B49" s="26" t="s">
        <v>197</v>
      </c>
      <c r="C49" s="26" t="s">
        <v>201</v>
      </c>
      <c r="D49" s="29" t="s">
        <v>48</v>
      </c>
      <c r="E49" s="29">
        <v>44794</v>
      </c>
      <c r="F49" s="29"/>
      <c r="G49" s="35">
        <v>300000</v>
      </c>
      <c r="H49" s="26">
        <v>4</v>
      </c>
      <c r="I49" s="26">
        <v>3</v>
      </c>
      <c r="J49" s="27">
        <v>2650</v>
      </c>
      <c r="K49" s="26" t="s">
        <v>326</v>
      </c>
      <c r="L49" s="26" t="s">
        <v>326</v>
      </c>
      <c r="M49" s="40">
        <v>113.20754716981132</v>
      </c>
    </row>
    <row r="50" spans="1:13" ht="15.6" x14ac:dyDescent="0.3">
      <c r="A50" s="26" t="s">
        <v>215</v>
      </c>
      <c r="B50" s="26" t="s">
        <v>197</v>
      </c>
      <c r="C50" s="26" t="s">
        <v>193</v>
      </c>
      <c r="D50" s="29" t="s">
        <v>109</v>
      </c>
      <c r="E50" s="29">
        <v>44731</v>
      </c>
      <c r="F50" s="29"/>
      <c r="G50" s="35">
        <v>225000</v>
      </c>
      <c r="H50" s="26">
        <v>4</v>
      </c>
      <c r="I50" s="26">
        <v>3</v>
      </c>
      <c r="J50" s="27">
        <v>2013</v>
      </c>
      <c r="K50" s="26" t="s">
        <v>327</v>
      </c>
      <c r="L50" s="26" t="s">
        <v>326</v>
      </c>
      <c r="M50" s="40">
        <v>111.77347242921013</v>
      </c>
    </row>
    <row r="51" spans="1:13" ht="15.6" x14ac:dyDescent="0.3">
      <c r="A51" s="26" t="s">
        <v>206</v>
      </c>
      <c r="B51" s="26" t="s">
        <v>197</v>
      </c>
      <c r="C51" s="26" t="s">
        <v>201</v>
      </c>
      <c r="D51" s="29" t="s">
        <v>48</v>
      </c>
      <c r="E51" s="29">
        <v>44669</v>
      </c>
      <c r="F51" s="29">
        <v>44852</v>
      </c>
      <c r="G51" s="35">
        <v>240000</v>
      </c>
      <c r="H51" s="26">
        <v>3</v>
      </c>
      <c r="I51" s="26">
        <v>2.5</v>
      </c>
      <c r="J51" s="27">
        <v>1595</v>
      </c>
      <c r="K51" s="26" t="s">
        <v>326</v>
      </c>
      <c r="L51" s="26" t="s">
        <v>327</v>
      </c>
      <c r="M51" s="40">
        <v>150.47021943573668</v>
      </c>
    </row>
    <row r="52" spans="1:13" ht="15.6" x14ac:dyDescent="0.3">
      <c r="A52" s="26" t="s">
        <v>203</v>
      </c>
      <c r="B52" s="26" t="s">
        <v>197</v>
      </c>
      <c r="C52" s="26" t="s">
        <v>201</v>
      </c>
      <c r="D52" s="29" t="s">
        <v>48</v>
      </c>
      <c r="E52" s="29">
        <v>44663</v>
      </c>
      <c r="F52" s="29">
        <v>45177</v>
      </c>
      <c r="G52" s="35">
        <v>325000</v>
      </c>
      <c r="H52" s="26">
        <v>4</v>
      </c>
      <c r="I52" s="26">
        <v>3</v>
      </c>
      <c r="J52" s="27">
        <v>2800</v>
      </c>
      <c r="K52" s="26" t="s">
        <v>327</v>
      </c>
      <c r="L52" s="26" t="s">
        <v>327</v>
      </c>
      <c r="M52" s="40">
        <v>116.07142857142857</v>
      </c>
    </row>
    <row r="53" spans="1:13" ht="15.6" x14ac:dyDescent="0.3">
      <c r="A53" s="26" t="s">
        <v>316</v>
      </c>
      <c r="B53" s="26" t="s">
        <v>278</v>
      </c>
      <c r="C53" s="26" t="s">
        <v>201</v>
      </c>
      <c r="D53" s="29" t="s">
        <v>48</v>
      </c>
      <c r="E53" s="29">
        <v>44836</v>
      </c>
      <c r="F53" s="29"/>
      <c r="G53" s="35">
        <v>199000</v>
      </c>
      <c r="H53" s="26">
        <v>3</v>
      </c>
      <c r="I53" s="26">
        <v>2.5</v>
      </c>
      <c r="J53" s="27">
        <v>1510</v>
      </c>
      <c r="K53" s="26" t="s">
        <v>326</v>
      </c>
      <c r="L53" s="26" t="s">
        <v>326</v>
      </c>
      <c r="M53" s="40">
        <v>131.78807947019868</v>
      </c>
    </row>
    <row r="54" spans="1:13" ht="15.6" x14ac:dyDescent="0.3">
      <c r="A54" s="26" t="s">
        <v>256</v>
      </c>
      <c r="B54" s="26" t="s">
        <v>240</v>
      </c>
      <c r="C54" s="26" t="s">
        <v>201</v>
      </c>
      <c r="D54" s="29" t="s">
        <v>48</v>
      </c>
      <c r="E54" s="29">
        <v>44701</v>
      </c>
      <c r="F54" s="29"/>
      <c r="G54" s="35">
        <v>229900</v>
      </c>
      <c r="H54" s="26">
        <v>4</v>
      </c>
      <c r="I54" s="26">
        <v>3</v>
      </c>
      <c r="J54" s="27">
        <v>2041</v>
      </c>
      <c r="K54" s="26" t="s">
        <v>326</v>
      </c>
      <c r="L54" s="26" t="s">
        <v>326</v>
      </c>
      <c r="M54" s="40">
        <v>112.64086232239099</v>
      </c>
    </row>
    <row r="55" spans="1:13" ht="15.6" x14ac:dyDescent="0.3">
      <c r="A55" s="26" t="s">
        <v>209</v>
      </c>
      <c r="B55" s="26" t="s">
        <v>197</v>
      </c>
      <c r="C55" s="26" t="s">
        <v>193</v>
      </c>
      <c r="D55" s="29" t="s">
        <v>48</v>
      </c>
      <c r="E55" s="29">
        <v>44677</v>
      </c>
      <c r="F55" s="29"/>
      <c r="G55" s="35">
        <v>225911</v>
      </c>
      <c r="H55" s="26">
        <v>4</v>
      </c>
      <c r="I55" s="26">
        <v>2.5</v>
      </c>
      <c r="J55" s="27">
        <v>1908</v>
      </c>
      <c r="K55" s="26" t="s">
        <v>327</v>
      </c>
      <c r="L55" s="26" t="s">
        <v>326</v>
      </c>
      <c r="M55" s="40">
        <v>118.40199161425576</v>
      </c>
    </row>
    <row r="56" spans="1:13" ht="15.6" x14ac:dyDescent="0.3">
      <c r="A56" s="26" t="s">
        <v>299</v>
      </c>
      <c r="B56" s="26" t="s">
        <v>278</v>
      </c>
      <c r="C56" s="26" t="s">
        <v>193</v>
      </c>
      <c r="D56" s="29" t="s">
        <v>48</v>
      </c>
      <c r="E56" s="29">
        <v>44743</v>
      </c>
      <c r="F56" s="29"/>
      <c r="G56" s="35">
        <v>236900</v>
      </c>
      <c r="H56" s="26">
        <v>3</v>
      </c>
      <c r="I56" s="26">
        <v>2</v>
      </c>
      <c r="J56" s="27">
        <v>1700</v>
      </c>
      <c r="K56" s="26" t="s">
        <v>326</v>
      </c>
      <c r="L56" s="26" t="s">
        <v>326</v>
      </c>
      <c r="M56" s="40">
        <v>139.35294117647058</v>
      </c>
    </row>
    <row r="57" spans="1:13" ht="15.6" x14ac:dyDescent="0.3">
      <c r="A57" s="26" t="s">
        <v>230</v>
      </c>
      <c r="B57" s="26" t="s">
        <v>197</v>
      </c>
      <c r="C57" s="26" t="s">
        <v>193</v>
      </c>
      <c r="D57" s="29" t="s">
        <v>60</v>
      </c>
      <c r="E57" s="29">
        <v>44823</v>
      </c>
      <c r="F57" s="29">
        <v>45324</v>
      </c>
      <c r="G57" s="35">
        <v>339900</v>
      </c>
      <c r="H57" s="26">
        <v>4</v>
      </c>
      <c r="I57" s="26">
        <v>3</v>
      </c>
      <c r="J57" s="27">
        <v>2687</v>
      </c>
      <c r="K57" s="26" t="s">
        <v>326</v>
      </c>
      <c r="L57" s="26" t="s">
        <v>327</v>
      </c>
      <c r="M57" s="40">
        <v>126.49795310755489</v>
      </c>
    </row>
    <row r="58" spans="1:13" ht="15.6" x14ac:dyDescent="0.3">
      <c r="A58" s="26" t="s">
        <v>265</v>
      </c>
      <c r="B58" s="26" t="s">
        <v>240</v>
      </c>
      <c r="C58" s="26" t="s">
        <v>193</v>
      </c>
      <c r="D58" s="29" t="s">
        <v>48</v>
      </c>
      <c r="E58" s="29">
        <v>44758</v>
      </c>
      <c r="F58" s="29"/>
      <c r="G58" s="35">
        <v>369900</v>
      </c>
      <c r="H58" s="26">
        <v>5</v>
      </c>
      <c r="I58" s="26">
        <v>3</v>
      </c>
      <c r="J58" s="27">
        <v>2477</v>
      </c>
      <c r="K58" s="26" t="s">
        <v>326</v>
      </c>
      <c r="L58" s="26" t="s">
        <v>326</v>
      </c>
      <c r="M58" s="40">
        <v>149.33387161889382</v>
      </c>
    </row>
    <row r="59" spans="1:13" ht="15.6" x14ac:dyDescent="0.3">
      <c r="A59" s="26" t="s">
        <v>205</v>
      </c>
      <c r="B59" s="26" t="s">
        <v>197</v>
      </c>
      <c r="C59" s="26" t="s">
        <v>201</v>
      </c>
      <c r="D59" s="29" t="s">
        <v>48</v>
      </c>
      <c r="E59" s="29">
        <v>44665</v>
      </c>
      <c r="F59" s="29">
        <v>45132</v>
      </c>
      <c r="G59" s="35">
        <v>227500</v>
      </c>
      <c r="H59" s="26">
        <v>4</v>
      </c>
      <c r="I59" s="26">
        <v>3</v>
      </c>
      <c r="J59" s="27">
        <v>1905</v>
      </c>
      <c r="K59" s="26" t="s">
        <v>326</v>
      </c>
      <c r="L59" s="26" t="s">
        <v>327</v>
      </c>
      <c r="M59" s="40">
        <v>119.42257217847769</v>
      </c>
    </row>
    <row r="60" spans="1:13" ht="15.6" x14ac:dyDescent="0.3">
      <c r="A60" s="26" t="s">
        <v>313</v>
      </c>
      <c r="B60" s="26" t="s">
        <v>278</v>
      </c>
      <c r="C60" s="26" t="s">
        <v>193</v>
      </c>
      <c r="D60" s="29" t="s">
        <v>60</v>
      </c>
      <c r="E60" s="29">
        <v>44825</v>
      </c>
      <c r="F60" s="29"/>
      <c r="G60" s="35">
        <v>250000</v>
      </c>
      <c r="H60" s="26">
        <v>4</v>
      </c>
      <c r="I60" s="26">
        <v>3</v>
      </c>
      <c r="J60" s="27">
        <v>1943</v>
      </c>
      <c r="K60" s="26" t="s">
        <v>326</v>
      </c>
      <c r="L60" s="26" t="s">
        <v>326</v>
      </c>
      <c r="M60" s="40">
        <v>128.66700977869274</v>
      </c>
    </row>
    <row r="61" spans="1:13" ht="15.6" x14ac:dyDescent="0.3">
      <c r="A61" s="26" t="s">
        <v>276</v>
      </c>
      <c r="B61" s="26" t="s">
        <v>240</v>
      </c>
      <c r="C61" s="26" t="s">
        <v>201</v>
      </c>
      <c r="D61" s="29" t="s">
        <v>48</v>
      </c>
      <c r="E61" s="29">
        <v>44886</v>
      </c>
      <c r="F61" s="29"/>
      <c r="G61" s="35">
        <v>369900</v>
      </c>
      <c r="H61" s="26">
        <v>4</v>
      </c>
      <c r="I61" s="26">
        <v>3</v>
      </c>
      <c r="J61" s="27">
        <v>1988</v>
      </c>
      <c r="K61" s="26" t="s">
        <v>326</v>
      </c>
      <c r="L61" s="26" t="s">
        <v>326</v>
      </c>
      <c r="M61" s="40">
        <v>186.06639839034204</v>
      </c>
    </row>
    <row r="62" spans="1:13" ht="15.6" x14ac:dyDescent="0.3">
      <c r="A62" s="26" t="s">
        <v>241</v>
      </c>
      <c r="B62" s="26" t="s">
        <v>240</v>
      </c>
      <c r="C62" s="26" t="s">
        <v>193</v>
      </c>
      <c r="D62" s="29" t="s">
        <v>48</v>
      </c>
      <c r="E62" s="29">
        <v>44643</v>
      </c>
      <c r="F62" s="29">
        <v>45155</v>
      </c>
      <c r="G62" s="35">
        <v>379000</v>
      </c>
      <c r="H62" s="26">
        <v>4</v>
      </c>
      <c r="I62" s="26">
        <v>3</v>
      </c>
      <c r="J62" s="27">
        <v>3000</v>
      </c>
      <c r="K62" s="26" t="s">
        <v>326</v>
      </c>
      <c r="L62" s="26" t="s">
        <v>327</v>
      </c>
      <c r="M62" s="40">
        <v>126.33333333333333</v>
      </c>
    </row>
    <row r="63" spans="1:13" ht="15.6" x14ac:dyDescent="0.3">
      <c r="A63" s="26" t="s">
        <v>219</v>
      </c>
      <c r="B63" s="26" t="s">
        <v>197</v>
      </c>
      <c r="C63" s="26" t="s">
        <v>193</v>
      </c>
      <c r="D63" s="29" t="s">
        <v>48</v>
      </c>
      <c r="E63" s="29">
        <v>44755</v>
      </c>
      <c r="F63" s="29"/>
      <c r="G63" s="35">
        <v>349000</v>
      </c>
      <c r="H63" s="26">
        <v>4</v>
      </c>
      <c r="I63" s="26">
        <v>3</v>
      </c>
      <c r="J63" s="27">
        <v>1838</v>
      </c>
      <c r="K63" s="26" t="s">
        <v>326</v>
      </c>
      <c r="L63" s="26" t="s">
        <v>326</v>
      </c>
      <c r="M63" s="40">
        <v>189.88030467899893</v>
      </c>
    </row>
    <row r="64" spans="1:13" ht="15.6" x14ac:dyDescent="0.3">
      <c r="A64" s="26" t="s">
        <v>260</v>
      </c>
      <c r="B64" s="26" t="s">
        <v>240</v>
      </c>
      <c r="C64" s="26" t="s">
        <v>193</v>
      </c>
      <c r="D64" s="29" t="s">
        <v>51</v>
      </c>
      <c r="E64" s="29">
        <v>44728</v>
      </c>
      <c r="F64" s="29"/>
      <c r="G64" s="35">
        <v>359000</v>
      </c>
      <c r="H64" s="26">
        <v>3</v>
      </c>
      <c r="I64" s="26">
        <v>2.5</v>
      </c>
      <c r="J64" s="27">
        <v>2210</v>
      </c>
      <c r="K64" s="26" t="s">
        <v>326</v>
      </c>
      <c r="L64" s="26" t="s">
        <v>326</v>
      </c>
      <c r="M64" s="40">
        <v>162.44343891402715</v>
      </c>
    </row>
    <row r="65" spans="1:13" ht="15.6" x14ac:dyDescent="0.3">
      <c r="A65" s="26" t="s">
        <v>234</v>
      </c>
      <c r="B65" s="26" t="s">
        <v>197</v>
      </c>
      <c r="C65" s="26" t="s">
        <v>193</v>
      </c>
      <c r="D65" s="29" t="s">
        <v>51</v>
      </c>
      <c r="E65" s="29">
        <v>44845</v>
      </c>
      <c r="F65" s="29"/>
      <c r="G65" s="35">
        <v>360000</v>
      </c>
      <c r="H65" s="26">
        <v>3</v>
      </c>
      <c r="I65" s="26">
        <v>2.5</v>
      </c>
      <c r="J65" s="27">
        <v>2330</v>
      </c>
      <c r="K65" s="26" t="s">
        <v>326</v>
      </c>
      <c r="L65" s="26" t="s">
        <v>326</v>
      </c>
      <c r="M65" s="40">
        <v>154.50643776824035</v>
      </c>
    </row>
    <row r="66" spans="1:13" ht="15.6" x14ac:dyDescent="0.3">
      <c r="A66" s="26" t="s">
        <v>314</v>
      </c>
      <c r="B66" s="26" t="s">
        <v>278</v>
      </c>
      <c r="C66" s="26" t="s">
        <v>201</v>
      </c>
      <c r="D66" s="29" t="s">
        <v>58</v>
      </c>
      <c r="E66" s="29">
        <v>44830</v>
      </c>
      <c r="F66" s="29"/>
      <c r="G66" s="35">
        <v>340000</v>
      </c>
      <c r="H66" s="26">
        <v>4</v>
      </c>
      <c r="I66" s="26">
        <v>2.5</v>
      </c>
      <c r="J66" s="27">
        <v>2517</v>
      </c>
      <c r="K66" s="26" t="s">
        <v>326</v>
      </c>
      <c r="L66" s="26" t="s">
        <v>326</v>
      </c>
      <c r="M66" s="40">
        <v>135.08144616607072</v>
      </c>
    </row>
    <row r="67" spans="1:13" ht="15.6" x14ac:dyDescent="0.3">
      <c r="A67" s="26" t="s">
        <v>216</v>
      </c>
      <c r="B67" s="26" t="s">
        <v>197</v>
      </c>
      <c r="C67" s="26" t="s">
        <v>193</v>
      </c>
      <c r="D67" s="29" t="s">
        <v>109</v>
      </c>
      <c r="E67" s="29">
        <v>44731</v>
      </c>
      <c r="F67" s="29"/>
      <c r="G67" s="35">
        <v>208750</v>
      </c>
      <c r="H67" s="26">
        <v>4</v>
      </c>
      <c r="I67" s="26">
        <v>2</v>
      </c>
      <c r="J67" s="27">
        <v>1800</v>
      </c>
      <c r="K67" s="26" t="s">
        <v>326</v>
      </c>
      <c r="L67" s="26" t="s">
        <v>326</v>
      </c>
      <c r="M67" s="40">
        <v>115.97222222222223</v>
      </c>
    </row>
    <row r="68" spans="1:13" ht="15.6" x14ac:dyDescent="0.3">
      <c r="A68" s="26" t="s">
        <v>287</v>
      </c>
      <c r="B68" s="26" t="s">
        <v>278</v>
      </c>
      <c r="C68" s="26" t="s">
        <v>193</v>
      </c>
      <c r="D68" s="29" t="s">
        <v>48</v>
      </c>
      <c r="E68" s="29">
        <v>44672</v>
      </c>
      <c r="F68" s="29"/>
      <c r="G68" s="35">
        <v>265000</v>
      </c>
      <c r="H68" s="26">
        <v>4</v>
      </c>
      <c r="I68" s="26">
        <v>3</v>
      </c>
      <c r="J68" s="27">
        <v>1905</v>
      </c>
      <c r="K68" s="26" t="s">
        <v>326</v>
      </c>
      <c r="L68" s="26" t="s">
        <v>326</v>
      </c>
      <c r="M68" s="40">
        <v>139.10761154855643</v>
      </c>
    </row>
    <row r="69" spans="1:13" ht="15.6" x14ac:dyDescent="0.3">
      <c r="A69" s="26" t="s">
        <v>280</v>
      </c>
      <c r="B69" s="26" t="s">
        <v>278</v>
      </c>
      <c r="C69" s="26" t="s">
        <v>193</v>
      </c>
      <c r="D69" s="29" t="s">
        <v>48</v>
      </c>
      <c r="E69" s="29">
        <v>44621</v>
      </c>
      <c r="F69" s="29"/>
      <c r="G69" s="35">
        <v>229900</v>
      </c>
      <c r="H69" s="26">
        <v>4</v>
      </c>
      <c r="I69" s="26">
        <v>3</v>
      </c>
      <c r="J69" s="27">
        <v>2006</v>
      </c>
      <c r="K69" s="26" t="s">
        <v>326</v>
      </c>
      <c r="L69" s="26" t="s">
        <v>326</v>
      </c>
      <c r="M69" s="40">
        <v>114.60618145563311</v>
      </c>
    </row>
    <row r="70" spans="1:13" ht="15.6" x14ac:dyDescent="0.3">
      <c r="A70" s="26" t="s">
        <v>212</v>
      </c>
      <c r="B70" s="26" t="s">
        <v>197</v>
      </c>
      <c r="C70" s="26" t="s">
        <v>193</v>
      </c>
      <c r="D70" s="29" t="s">
        <v>48</v>
      </c>
      <c r="E70" s="29">
        <v>44709</v>
      </c>
      <c r="F70" s="29"/>
      <c r="G70" s="35">
        <v>574900</v>
      </c>
      <c r="H70" s="26">
        <v>5</v>
      </c>
      <c r="I70" s="26">
        <v>4</v>
      </c>
      <c r="J70" s="27">
        <v>4700</v>
      </c>
      <c r="K70" s="26" t="s">
        <v>326</v>
      </c>
      <c r="L70" s="26" t="s">
        <v>326</v>
      </c>
      <c r="M70" s="40">
        <v>122.31914893617021</v>
      </c>
    </row>
    <row r="71" spans="1:13" ht="15.6" x14ac:dyDescent="0.3">
      <c r="A71" s="26" t="s">
        <v>210</v>
      </c>
      <c r="B71" s="26" t="s">
        <v>197</v>
      </c>
      <c r="C71" s="26" t="s">
        <v>193</v>
      </c>
      <c r="D71" s="29" t="s">
        <v>58</v>
      </c>
      <c r="E71" s="29">
        <v>44693</v>
      </c>
      <c r="F71" s="29">
        <v>45062</v>
      </c>
      <c r="G71" s="35">
        <v>360000</v>
      </c>
      <c r="H71" s="26">
        <v>5</v>
      </c>
      <c r="I71" s="26">
        <v>3</v>
      </c>
      <c r="J71" s="27">
        <v>2112</v>
      </c>
      <c r="K71" s="26" t="s">
        <v>327</v>
      </c>
      <c r="L71" s="26" t="s">
        <v>327</v>
      </c>
      <c r="M71" s="40">
        <v>170.45454545454547</v>
      </c>
    </row>
    <row r="72" spans="1:13" ht="15.6" x14ac:dyDescent="0.3">
      <c r="A72" s="26" t="s">
        <v>244</v>
      </c>
      <c r="B72" s="26" t="s">
        <v>240</v>
      </c>
      <c r="C72" s="26" t="s">
        <v>193</v>
      </c>
      <c r="D72" s="29" t="s">
        <v>48</v>
      </c>
      <c r="E72" s="29">
        <v>44653</v>
      </c>
      <c r="F72" s="29">
        <v>45192</v>
      </c>
      <c r="G72" s="35">
        <v>248500</v>
      </c>
      <c r="H72" s="26">
        <v>4</v>
      </c>
      <c r="I72" s="26">
        <v>2.5</v>
      </c>
      <c r="J72" s="27">
        <v>2101</v>
      </c>
      <c r="K72" s="26" t="s">
        <v>327</v>
      </c>
      <c r="L72" s="26" t="s">
        <v>327</v>
      </c>
      <c r="M72" s="40">
        <v>118.27701094716801</v>
      </c>
    </row>
    <row r="73" spans="1:13" ht="15.6" x14ac:dyDescent="0.3">
      <c r="A73" s="26" t="s">
        <v>202</v>
      </c>
      <c r="B73" s="26" t="s">
        <v>197</v>
      </c>
      <c r="C73" s="26" t="s">
        <v>193</v>
      </c>
      <c r="D73" s="29" t="s">
        <v>48</v>
      </c>
      <c r="E73" s="29">
        <v>44655</v>
      </c>
      <c r="F73" s="29">
        <v>44882</v>
      </c>
      <c r="G73" s="35">
        <v>297500</v>
      </c>
      <c r="H73" s="26">
        <v>4</v>
      </c>
      <c r="I73" s="26">
        <v>3.5</v>
      </c>
      <c r="J73" s="27">
        <v>2170</v>
      </c>
      <c r="K73" s="26" t="s">
        <v>326</v>
      </c>
      <c r="L73" s="26" t="s">
        <v>327</v>
      </c>
      <c r="M73" s="40">
        <v>137.09677419354838</v>
      </c>
    </row>
    <row r="74" spans="1:13" ht="15.6" x14ac:dyDescent="0.3">
      <c r="A74" s="26" t="s">
        <v>292</v>
      </c>
      <c r="B74" s="26" t="s">
        <v>278</v>
      </c>
      <c r="C74" s="26" t="s">
        <v>201</v>
      </c>
      <c r="D74" s="29" t="s">
        <v>60</v>
      </c>
      <c r="E74" s="29">
        <v>44691</v>
      </c>
      <c r="F74" s="29"/>
      <c r="G74" s="35">
        <v>319000</v>
      </c>
      <c r="H74" s="26">
        <v>3</v>
      </c>
      <c r="I74" s="26">
        <v>2.5</v>
      </c>
      <c r="J74" s="27">
        <v>2586</v>
      </c>
      <c r="K74" s="26" t="s">
        <v>326</v>
      </c>
      <c r="L74" s="26" t="s">
        <v>326</v>
      </c>
      <c r="M74" s="40">
        <v>123.35653518948183</v>
      </c>
    </row>
    <row r="75" spans="1:13" ht="15.6" x14ac:dyDescent="0.3">
      <c r="A75" s="26" t="s">
        <v>271</v>
      </c>
      <c r="B75" s="26" t="s">
        <v>240</v>
      </c>
      <c r="C75" s="26" t="s">
        <v>193</v>
      </c>
      <c r="D75" s="29" t="s">
        <v>48</v>
      </c>
      <c r="E75" s="29">
        <v>44783</v>
      </c>
      <c r="F75" s="29"/>
      <c r="G75" s="35">
        <v>389000</v>
      </c>
      <c r="H75" s="26">
        <v>4</v>
      </c>
      <c r="I75" s="26">
        <v>3</v>
      </c>
      <c r="J75" s="27">
        <v>3109</v>
      </c>
      <c r="K75" s="26" t="s">
        <v>326</v>
      </c>
      <c r="L75" s="26" t="s">
        <v>326</v>
      </c>
      <c r="M75" s="40">
        <v>125.12061756191702</v>
      </c>
    </row>
    <row r="76" spans="1:13" ht="15.6" x14ac:dyDescent="0.3">
      <c r="A76" s="26" t="s">
        <v>238</v>
      </c>
      <c r="B76" s="26" t="s">
        <v>240</v>
      </c>
      <c r="C76" s="26" t="s">
        <v>201</v>
      </c>
      <c r="D76" s="29" t="s">
        <v>48</v>
      </c>
      <c r="E76" s="29">
        <v>44635</v>
      </c>
      <c r="F76" s="29">
        <v>44927</v>
      </c>
      <c r="G76" s="35">
        <v>350000</v>
      </c>
      <c r="H76" s="26">
        <v>3</v>
      </c>
      <c r="I76" s="26">
        <v>2.5</v>
      </c>
      <c r="J76" s="27">
        <v>1991</v>
      </c>
      <c r="K76" s="26" t="s">
        <v>326</v>
      </c>
      <c r="L76" s="26" t="s">
        <v>327</v>
      </c>
      <c r="M76" s="40">
        <v>175.79105976896031</v>
      </c>
    </row>
    <row r="77" spans="1:13" ht="15.6" x14ac:dyDescent="0.3">
      <c r="A77" s="26" t="s">
        <v>266</v>
      </c>
      <c r="B77" s="26" t="s">
        <v>240</v>
      </c>
      <c r="C77" s="26" t="s">
        <v>201</v>
      </c>
      <c r="D77" s="29" t="s">
        <v>48</v>
      </c>
      <c r="E77" s="29">
        <v>44764</v>
      </c>
      <c r="F77" s="29"/>
      <c r="G77" s="35">
        <v>215000</v>
      </c>
      <c r="H77" s="26">
        <v>4</v>
      </c>
      <c r="I77" s="26">
        <v>2.5</v>
      </c>
      <c r="J77" s="27">
        <v>1640</v>
      </c>
      <c r="K77" s="26" t="s">
        <v>327</v>
      </c>
      <c r="L77" s="26" t="s">
        <v>326</v>
      </c>
      <c r="M77" s="40">
        <v>131.09756097560975</v>
      </c>
    </row>
    <row r="78" spans="1:13" ht="15.6" x14ac:dyDescent="0.3">
      <c r="A78" s="26" t="s">
        <v>258</v>
      </c>
      <c r="B78" s="26" t="s">
        <v>240</v>
      </c>
      <c r="C78" s="26" t="s">
        <v>201</v>
      </c>
      <c r="D78" s="29" t="s">
        <v>48</v>
      </c>
      <c r="E78" s="29">
        <v>44711</v>
      </c>
      <c r="F78" s="29"/>
      <c r="G78" s="35">
        <v>379900</v>
      </c>
      <c r="H78" s="26">
        <v>3</v>
      </c>
      <c r="I78" s="26">
        <v>2.5</v>
      </c>
      <c r="J78" s="27">
        <v>2468</v>
      </c>
      <c r="K78" s="26" t="s">
        <v>326</v>
      </c>
      <c r="L78" s="26" t="s">
        <v>326</v>
      </c>
      <c r="M78" s="40">
        <v>153.93030794165315</v>
      </c>
    </row>
    <row r="79" spans="1:13" ht="15.6" x14ac:dyDescent="0.3">
      <c r="A79" s="26" t="s">
        <v>281</v>
      </c>
      <c r="B79" s="26" t="s">
        <v>278</v>
      </c>
      <c r="C79" s="26" t="s">
        <v>193</v>
      </c>
      <c r="D79" s="29" t="s">
        <v>60</v>
      </c>
      <c r="E79" s="29">
        <v>44627</v>
      </c>
      <c r="F79" s="29"/>
      <c r="G79" s="35">
        <v>364900</v>
      </c>
      <c r="H79" s="26">
        <v>4</v>
      </c>
      <c r="I79" s="26">
        <v>2.5</v>
      </c>
      <c r="J79" s="27">
        <v>2507</v>
      </c>
      <c r="K79" s="26" t="s">
        <v>326</v>
      </c>
      <c r="L79" s="26" t="s">
        <v>326</v>
      </c>
      <c r="M79" s="40">
        <v>145.55245313123254</v>
      </c>
    </row>
    <row r="80" spans="1:13" ht="15.6" x14ac:dyDescent="0.3">
      <c r="A80" s="26" t="s">
        <v>200</v>
      </c>
      <c r="B80" s="26" t="s">
        <v>197</v>
      </c>
      <c r="C80" s="26" t="s">
        <v>201</v>
      </c>
      <c r="D80" s="29" t="s">
        <v>60</v>
      </c>
      <c r="E80" s="29">
        <v>44639</v>
      </c>
      <c r="F80" s="29">
        <v>45027</v>
      </c>
      <c r="G80" s="35">
        <v>215000</v>
      </c>
      <c r="H80" s="26">
        <v>1</v>
      </c>
      <c r="I80" s="26">
        <v>2</v>
      </c>
      <c r="J80" s="27">
        <v>1552</v>
      </c>
      <c r="K80" s="26" t="s">
        <v>326</v>
      </c>
      <c r="L80" s="26" t="s">
        <v>327</v>
      </c>
      <c r="M80" s="40">
        <v>138.53092783505156</v>
      </c>
    </row>
    <row r="81" spans="1:13" ht="15.6" x14ac:dyDescent="0.3">
      <c r="A81" s="26" t="s">
        <v>214</v>
      </c>
      <c r="B81" s="26" t="s">
        <v>197</v>
      </c>
      <c r="C81" s="26" t="s">
        <v>193</v>
      </c>
      <c r="D81" s="29" t="s">
        <v>48</v>
      </c>
      <c r="E81" s="29">
        <v>44731</v>
      </c>
      <c r="F81" s="29"/>
      <c r="G81" s="35">
        <v>229900</v>
      </c>
      <c r="H81" s="26">
        <v>3</v>
      </c>
      <c r="I81" s="26">
        <v>2.5</v>
      </c>
      <c r="J81" s="27">
        <v>1580</v>
      </c>
      <c r="K81" s="26" t="s">
        <v>327</v>
      </c>
      <c r="L81" s="26" t="s">
        <v>326</v>
      </c>
      <c r="M81" s="40">
        <v>145.50632911392404</v>
      </c>
    </row>
    <row r="82" spans="1:13" ht="15.6" x14ac:dyDescent="0.3">
      <c r="A82" s="26" t="s">
        <v>257</v>
      </c>
      <c r="B82" s="26" t="s">
        <v>240</v>
      </c>
      <c r="C82" s="26" t="s">
        <v>201</v>
      </c>
      <c r="D82" s="29" t="s">
        <v>48</v>
      </c>
      <c r="E82" s="29">
        <v>44711</v>
      </c>
      <c r="F82" s="29"/>
      <c r="G82" s="35">
        <v>379900</v>
      </c>
      <c r="H82" s="26">
        <v>3</v>
      </c>
      <c r="I82" s="26">
        <v>2.5</v>
      </c>
      <c r="J82" s="27">
        <v>2468</v>
      </c>
      <c r="K82" s="26" t="s">
        <v>326</v>
      </c>
      <c r="L82" s="26" t="s">
        <v>326</v>
      </c>
      <c r="M82" s="40">
        <v>153.93030794165315</v>
      </c>
    </row>
    <row r="83" spans="1:13" ht="15.6" x14ac:dyDescent="0.3">
      <c r="A83" s="26" t="s">
        <v>315</v>
      </c>
      <c r="B83" s="26" t="s">
        <v>278</v>
      </c>
      <c r="C83" s="26" t="s">
        <v>193</v>
      </c>
      <c r="D83" s="29" t="s">
        <v>48</v>
      </c>
      <c r="E83" s="29">
        <v>44833</v>
      </c>
      <c r="F83" s="29"/>
      <c r="G83" s="35">
        <v>290000</v>
      </c>
      <c r="H83" s="26">
        <v>4</v>
      </c>
      <c r="I83" s="26">
        <v>2</v>
      </c>
      <c r="J83" s="27">
        <v>2400</v>
      </c>
      <c r="K83" s="26" t="s">
        <v>326</v>
      </c>
      <c r="L83" s="26" t="s">
        <v>326</v>
      </c>
      <c r="M83" s="40">
        <v>120.83333333333333</v>
      </c>
    </row>
    <row r="84" spans="1:13" ht="15.6" x14ac:dyDescent="0.3">
      <c r="A84" s="26" t="s">
        <v>285</v>
      </c>
      <c r="B84" s="26" t="s">
        <v>278</v>
      </c>
      <c r="C84" s="26" t="s">
        <v>201</v>
      </c>
      <c r="D84" s="29" t="s">
        <v>48</v>
      </c>
      <c r="E84" s="29">
        <v>44655</v>
      </c>
      <c r="F84" s="29"/>
      <c r="G84" s="35">
        <v>319000</v>
      </c>
      <c r="H84" s="26">
        <v>4</v>
      </c>
      <c r="I84" s="26">
        <v>2</v>
      </c>
      <c r="J84" s="27">
        <v>1690</v>
      </c>
      <c r="K84" s="26" t="s">
        <v>327</v>
      </c>
      <c r="L84" s="26" t="s">
        <v>326</v>
      </c>
      <c r="M84" s="40">
        <v>188.75739644970415</v>
      </c>
    </row>
    <row r="85" spans="1:13" ht="15.6" x14ac:dyDescent="0.3">
      <c r="A85" s="26" t="s">
        <v>213</v>
      </c>
      <c r="B85" s="26" t="s">
        <v>197</v>
      </c>
      <c r="C85" s="26" t="s">
        <v>193</v>
      </c>
      <c r="D85" s="29" t="s">
        <v>48</v>
      </c>
      <c r="E85" s="29">
        <v>44725</v>
      </c>
      <c r="F85" s="29">
        <v>45267</v>
      </c>
      <c r="G85" s="35">
        <v>245000</v>
      </c>
      <c r="H85" s="26">
        <v>4</v>
      </c>
      <c r="I85" s="26">
        <v>3</v>
      </c>
      <c r="J85" s="27">
        <v>2047</v>
      </c>
      <c r="K85" s="26" t="s">
        <v>326</v>
      </c>
      <c r="L85" s="26" t="s">
        <v>327</v>
      </c>
      <c r="M85" s="40">
        <v>119.68734733756718</v>
      </c>
    </row>
    <row r="86" spans="1:13" ht="15.6" x14ac:dyDescent="0.3">
      <c r="A86" s="26" t="s">
        <v>195</v>
      </c>
      <c r="B86" s="26" t="s">
        <v>197</v>
      </c>
      <c r="C86" s="26" t="s">
        <v>193</v>
      </c>
      <c r="D86" s="29" t="s">
        <v>48</v>
      </c>
      <c r="E86" s="29">
        <v>44617</v>
      </c>
      <c r="F86" s="29"/>
      <c r="G86" s="35">
        <v>338876</v>
      </c>
      <c r="H86" s="26">
        <v>4</v>
      </c>
      <c r="I86" s="26">
        <v>2.5</v>
      </c>
      <c r="J86" s="27">
        <v>2612</v>
      </c>
      <c r="K86" s="26" t="s">
        <v>326</v>
      </c>
      <c r="L86" s="26" t="s">
        <v>326</v>
      </c>
      <c r="M86" s="40">
        <v>129.73813169984686</v>
      </c>
    </row>
    <row r="87" spans="1:13" ht="15.6" x14ac:dyDescent="0.3">
      <c r="A87" s="26" t="s">
        <v>239</v>
      </c>
      <c r="B87" s="26" t="s">
        <v>240</v>
      </c>
      <c r="C87" s="26" t="s">
        <v>193</v>
      </c>
      <c r="D87" s="29" t="s">
        <v>48</v>
      </c>
      <c r="E87" s="29">
        <v>44637</v>
      </c>
      <c r="F87" s="29"/>
      <c r="G87" s="35">
        <v>398000</v>
      </c>
      <c r="H87" s="26">
        <v>4</v>
      </c>
      <c r="I87" s="26">
        <v>2.5</v>
      </c>
      <c r="J87" s="27">
        <v>2620</v>
      </c>
      <c r="K87" s="26" t="s">
        <v>326</v>
      </c>
      <c r="L87" s="26" t="s">
        <v>326</v>
      </c>
      <c r="M87" s="40">
        <v>151.90839694656489</v>
      </c>
    </row>
    <row r="88" spans="1:13" ht="15.6" x14ac:dyDescent="0.3">
      <c r="A88" s="26" t="s">
        <v>291</v>
      </c>
      <c r="B88" s="26" t="s">
        <v>278</v>
      </c>
      <c r="C88" s="26" t="s">
        <v>193</v>
      </c>
      <c r="D88" s="29" t="s">
        <v>48</v>
      </c>
      <c r="E88" s="29">
        <v>44686</v>
      </c>
      <c r="F88" s="29">
        <v>44901</v>
      </c>
      <c r="G88" s="35">
        <v>229500</v>
      </c>
      <c r="H88" s="26">
        <v>4</v>
      </c>
      <c r="I88" s="26">
        <v>3</v>
      </c>
      <c r="J88" s="27">
        <v>2041</v>
      </c>
      <c r="K88" s="26" t="s">
        <v>326</v>
      </c>
      <c r="L88" s="26" t="s">
        <v>327</v>
      </c>
      <c r="M88" s="40">
        <v>112.44487996080353</v>
      </c>
    </row>
    <row r="89" spans="1:13" ht="15.6" x14ac:dyDescent="0.3">
      <c r="A89" s="26" t="s">
        <v>227</v>
      </c>
      <c r="B89" s="26" t="s">
        <v>197</v>
      </c>
      <c r="C89" s="26" t="s">
        <v>193</v>
      </c>
      <c r="D89" s="29" t="s">
        <v>58</v>
      </c>
      <c r="E89" s="29">
        <v>44798</v>
      </c>
      <c r="F89" s="29"/>
      <c r="G89" s="35">
        <v>365000</v>
      </c>
      <c r="H89" s="26">
        <v>5</v>
      </c>
      <c r="I89" s="26">
        <v>3</v>
      </c>
      <c r="J89" s="27">
        <v>3938</v>
      </c>
      <c r="K89" s="26" t="s">
        <v>326</v>
      </c>
      <c r="L89" s="26" t="s">
        <v>326</v>
      </c>
      <c r="M89" s="40">
        <v>92.686642965972581</v>
      </c>
    </row>
    <row r="90" spans="1:13" ht="15.6" x14ac:dyDescent="0.3">
      <c r="A90" s="26" t="s">
        <v>192</v>
      </c>
      <c r="B90" s="26" t="s">
        <v>197</v>
      </c>
      <c r="C90" s="26" t="s">
        <v>193</v>
      </c>
      <c r="D90" s="29" t="s">
        <v>48</v>
      </c>
      <c r="E90" s="29">
        <v>44611</v>
      </c>
      <c r="F90" s="29">
        <v>45071</v>
      </c>
      <c r="G90" s="35">
        <v>204900</v>
      </c>
      <c r="H90" s="26">
        <v>3</v>
      </c>
      <c r="I90" s="26">
        <v>2.5</v>
      </c>
      <c r="J90" s="27">
        <v>1630</v>
      </c>
      <c r="K90" s="26" t="s">
        <v>326</v>
      </c>
      <c r="L90" s="26" t="s">
        <v>327</v>
      </c>
      <c r="M90" s="40">
        <v>125.70552147239263</v>
      </c>
    </row>
    <row r="91" spans="1:13" ht="15.6" x14ac:dyDescent="0.3">
      <c r="A91" s="26" t="s">
        <v>243</v>
      </c>
      <c r="B91" s="26" t="s">
        <v>240</v>
      </c>
      <c r="C91" s="26" t="s">
        <v>201</v>
      </c>
      <c r="D91" s="29" t="s">
        <v>53</v>
      </c>
      <c r="E91" s="29">
        <v>44651</v>
      </c>
      <c r="F91" s="29"/>
      <c r="G91" s="35">
        <v>309900</v>
      </c>
      <c r="H91" s="26">
        <v>5</v>
      </c>
      <c r="I91" s="26">
        <v>3</v>
      </c>
      <c r="J91" s="27">
        <v>2447</v>
      </c>
      <c r="K91" s="26" t="s">
        <v>327</v>
      </c>
      <c r="L91" s="26" t="s">
        <v>326</v>
      </c>
      <c r="M91" s="40">
        <v>126.64487127094401</v>
      </c>
    </row>
    <row r="92" spans="1:13" ht="15.6" x14ac:dyDescent="0.3">
      <c r="A92" s="26" t="s">
        <v>237</v>
      </c>
      <c r="B92" s="26" t="s">
        <v>240</v>
      </c>
      <c r="C92" s="26" t="s">
        <v>201</v>
      </c>
      <c r="D92" s="29" t="s">
        <v>58</v>
      </c>
      <c r="E92" s="29">
        <v>44627</v>
      </c>
      <c r="F92" s="29"/>
      <c r="G92" s="35">
        <v>264900</v>
      </c>
      <c r="H92" s="26">
        <v>3</v>
      </c>
      <c r="I92" s="26">
        <v>3</v>
      </c>
      <c r="J92" s="27">
        <v>2495</v>
      </c>
      <c r="K92" s="26" t="s">
        <v>326</v>
      </c>
      <c r="L92" s="26" t="s">
        <v>326</v>
      </c>
      <c r="M92" s="40">
        <v>106.17234468937876</v>
      </c>
    </row>
    <row r="93" spans="1:13" ht="15.6" x14ac:dyDescent="0.3">
      <c r="A93" s="26" t="s">
        <v>289</v>
      </c>
      <c r="B93" s="26" t="s">
        <v>278</v>
      </c>
      <c r="C93" s="26" t="s">
        <v>193</v>
      </c>
      <c r="D93" s="29" t="s">
        <v>48</v>
      </c>
      <c r="E93" s="29">
        <v>44681</v>
      </c>
      <c r="F93" s="29"/>
      <c r="G93" s="35">
        <v>625000</v>
      </c>
      <c r="H93" s="26">
        <v>6</v>
      </c>
      <c r="I93" s="26">
        <v>4</v>
      </c>
      <c r="J93" s="27">
        <v>3950</v>
      </c>
      <c r="K93" s="26" t="s">
        <v>327</v>
      </c>
      <c r="L93" s="26" t="s">
        <v>326</v>
      </c>
      <c r="M93" s="40">
        <v>158.22784810126583</v>
      </c>
    </row>
    <row r="94" spans="1:13" ht="15.6" x14ac:dyDescent="0.3">
      <c r="A94" s="26" t="s">
        <v>317</v>
      </c>
      <c r="B94" s="26" t="s">
        <v>278</v>
      </c>
      <c r="C94" s="26" t="s">
        <v>193</v>
      </c>
      <c r="D94" s="29" t="s">
        <v>48</v>
      </c>
      <c r="E94" s="29">
        <v>44836</v>
      </c>
      <c r="F94" s="29"/>
      <c r="G94" s="35">
        <v>227500</v>
      </c>
      <c r="H94" s="26">
        <v>4</v>
      </c>
      <c r="I94" s="26">
        <v>3</v>
      </c>
      <c r="J94" s="27">
        <v>1990</v>
      </c>
      <c r="K94" s="26" t="s">
        <v>327</v>
      </c>
      <c r="L94" s="26" t="s">
        <v>326</v>
      </c>
      <c r="M94" s="40">
        <v>114.321608040201</v>
      </c>
    </row>
    <row r="95" spans="1:13" ht="15.6" x14ac:dyDescent="0.3">
      <c r="A95" s="26" t="s">
        <v>267</v>
      </c>
      <c r="B95" s="26" t="s">
        <v>240</v>
      </c>
      <c r="C95" s="26" t="s">
        <v>201</v>
      </c>
      <c r="D95" s="29" t="s">
        <v>48</v>
      </c>
      <c r="E95" s="29">
        <v>44769</v>
      </c>
      <c r="F95" s="29"/>
      <c r="G95" s="35">
        <v>359900</v>
      </c>
      <c r="H95" s="26">
        <v>3</v>
      </c>
      <c r="I95" s="26">
        <v>2</v>
      </c>
      <c r="J95" s="27">
        <v>2198</v>
      </c>
      <c r="K95" s="26" t="s">
        <v>327</v>
      </c>
      <c r="L95" s="26" t="s">
        <v>326</v>
      </c>
      <c r="M95" s="40">
        <v>163.73976342129208</v>
      </c>
    </row>
    <row r="96" spans="1:13" ht="15.6" x14ac:dyDescent="0.3">
      <c r="A96" s="26" t="s">
        <v>254</v>
      </c>
      <c r="B96" s="26" t="s">
        <v>240</v>
      </c>
      <c r="C96" s="26" t="s">
        <v>201</v>
      </c>
      <c r="D96" s="29" t="s">
        <v>48</v>
      </c>
      <c r="E96" s="29">
        <v>44688</v>
      </c>
      <c r="F96" s="29">
        <v>44963</v>
      </c>
      <c r="G96" s="35">
        <v>359900</v>
      </c>
      <c r="H96" s="26">
        <v>3</v>
      </c>
      <c r="I96" s="26">
        <v>3</v>
      </c>
      <c r="J96" s="27">
        <v>1839</v>
      </c>
      <c r="K96" s="26" t="s">
        <v>326</v>
      </c>
      <c r="L96" s="26" t="s">
        <v>327</v>
      </c>
      <c r="M96" s="40">
        <v>195.70418705818381</v>
      </c>
    </row>
    <row r="97" spans="1:13" ht="15.6" x14ac:dyDescent="0.3">
      <c r="A97" s="26" t="s">
        <v>232</v>
      </c>
      <c r="B97" s="26" t="s">
        <v>197</v>
      </c>
      <c r="C97" s="26" t="s">
        <v>201</v>
      </c>
      <c r="D97" s="29" t="s">
        <v>60</v>
      </c>
      <c r="E97" s="29">
        <v>44827</v>
      </c>
      <c r="F97" s="29"/>
      <c r="G97" s="35">
        <v>235990</v>
      </c>
      <c r="H97" s="26">
        <v>5</v>
      </c>
      <c r="I97" s="26">
        <v>3</v>
      </c>
      <c r="J97" s="27">
        <v>2723</v>
      </c>
      <c r="K97" s="26" t="s">
        <v>326</v>
      </c>
      <c r="L97" s="26" t="s">
        <v>326</v>
      </c>
      <c r="M97" s="40">
        <v>86.665442526625043</v>
      </c>
    </row>
    <row r="98" spans="1:13" ht="15.6" x14ac:dyDescent="0.3">
      <c r="A98" s="26" t="s">
        <v>282</v>
      </c>
      <c r="B98" s="26" t="s">
        <v>278</v>
      </c>
      <c r="C98" s="26" t="s">
        <v>193</v>
      </c>
      <c r="D98" s="29" t="s">
        <v>60</v>
      </c>
      <c r="E98" s="29">
        <v>44629</v>
      </c>
      <c r="F98" s="29">
        <v>45111</v>
      </c>
      <c r="G98" s="35">
        <v>235910</v>
      </c>
      <c r="H98" s="26">
        <v>4</v>
      </c>
      <c r="I98" s="26">
        <v>3</v>
      </c>
      <c r="J98" s="27">
        <v>2285</v>
      </c>
      <c r="K98" s="26" t="s">
        <v>327</v>
      </c>
      <c r="L98" s="26" t="s">
        <v>327</v>
      </c>
      <c r="M98" s="40">
        <v>103.24288840262582</v>
      </c>
    </row>
    <row r="99" spans="1:13" ht="15.6" x14ac:dyDescent="0.3">
      <c r="A99" s="26" t="s">
        <v>319</v>
      </c>
      <c r="B99" s="26" t="s">
        <v>278</v>
      </c>
      <c r="C99" s="26" t="s">
        <v>193</v>
      </c>
      <c r="D99" s="29" t="s">
        <v>51</v>
      </c>
      <c r="E99" s="29">
        <v>44838</v>
      </c>
      <c r="F99" s="29"/>
      <c r="G99" s="35">
        <v>345000</v>
      </c>
      <c r="H99" s="26">
        <v>3</v>
      </c>
      <c r="I99" s="26">
        <v>2</v>
      </c>
      <c r="J99" s="27">
        <v>2694</v>
      </c>
      <c r="K99" s="26" t="s">
        <v>326</v>
      </c>
      <c r="L99" s="26" t="s">
        <v>326</v>
      </c>
      <c r="M99" s="40">
        <v>128.06236080178175</v>
      </c>
    </row>
    <row r="100" spans="1:13" ht="15.6" x14ac:dyDescent="0.3">
      <c r="A100" s="26" t="s">
        <v>297</v>
      </c>
      <c r="B100" s="26" t="s">
        <v>278</v>
      </c>
      <c r="C100" s="26" t="s">
        <v>193</v>
      </c>
      <c r="D100" s="29" t="s">
        <v>48</v>
      </c>
      <c r="E100" s="29">
        <v>44714</v>
      </c>
      <c r="F100" s="29"/>
      <c r="G100" s="35">
        <v>389500</v>
      </c>
      <c r="H100" s="26">
        <v>4</v>
      </c>
      <c r="I100" s="26">
        <v>2</v>
      </c>
      <c r="J100" s="27">
        <v>1971</v>
      </c>
      <c r="K100" s="26" t="s">
        <v>326</v>
      </c>
      <c r="L100" s="26" t="s">
        <v>326</v>
      </c>
      <c r="M100" s="40">
        <v>197.6154236428209</v>
      </c>
    </row>
    <row r="101" spans="1:13" ht="15.6" x14ac:dyDescent="0.3">
      <c r="A101" s="26" t="s">
        <v>320</v>
      </c>
      <c r="B101" s="26" t="s">
        <v>278</v>
      </c>
      <c r="C101" s="26" t="s">
        <v>193</v>
      </c>
      <c r="D101" s="29" t="s">
        <v>48</v>
      </c>
      <c r="E101" s="29">
        <v>44841</v>
      </c>
      <c r="F101" s="29"/>
      <c r="G101" s="35">
        <v>243000</v>
      </c>
      <c r="H101" s="26">
        <v>4</v>
      </c>
      <c r="I101" s="26">
        <v>2.5</v>
      </c>
      <c r="J101" s="27">
        <v>1914</v>
      </c>
      <c r="K101" s="26" t="s">
        <v>326</v>
      </c>
      <c r="L101" s="26" t="s">
        <v>326</v>
      </c>
      <c r="M101" s="40">
        <v>126.95924764890282</v>
      </c>
    </row>
    <row r="102" spans="1:13" ht="15.6" x14ac:dyDescent="0.3">
      <c r="A102" s="26" t="s">
        <v>288</v>
      </c>
      <c r="B102" s="26" t="s">
        <v>278</v>
      </c>
      <c r="C102" s="26" t="s">
        <v>193</v>
      </c>
      <c r="D102" s="29" t="s">
        <v>48</v>
      </c>
      <c r="E102" s="29">
        <v>44675</v>
      </c>
      <c r="F102" s="29"/>
      <c r="G102" s="35">
        <v>250000</v>
      </c>
      <c r="H102" s="26">
        <v>3</v>
      </c>
      <c r="I102" s="26">
        <v>2</v>
      </c>
      <c r="J102" s="27">
        <v>2066</v>
      </c>
      <c r="K102" s="26" t="s">
        <v>326</v>
      </c>
      <c r="L102" s="26" t="s">
        <v>326</v>
      </c>
      <c r="M102" s="40">
        <v>121.00677637947724</v>
      </c>
    </row>
    <row r="103" spans="1:13" ht="15.6" x14ac:dyDescent="0.3">
      <c r="A103" s="26" t="s">
        <v>261</v>
      </c>
      <c r="B103" s="26" t="s">
        <v>240</v>
      </c>
      <c r="C103" s="26" t="s">
        <v>201</v>
      </c>
      <c r="D103" s="29" t="s">
        <v>48</v>
      </c>
      <c r="E103" s="29">
        <v>44731</v>
      </c>
      <c r="F103" s="29"/>
      <c r="G103" s="35">
        <v>355000</v>
      </c>
      <c r="H103" s="26">
        <v>4</v>
      </c>
      <c r="I103" s="26">
        <v>2.5</v>
      </c>
      <c r="J103" s="27">
        <v>2647</v>
      </c>
      <c r="K103" s="26" t="s">
        <v>327</v>
      </c>
      <c r="L103" s="26" t="s">
        <v>326</v>
      </c>
      <c r="M103" s="40">
        <v>134.11409142425387</v>
      </c>
    </row>
    <row r="104" spans="1:13" ht="15.6" x14ac:dyDescent="0.3">
      <c r="A104" s="26" t="s">
        <v>242</v>
      </c>
      <c r="B104" s="26" t="s">
        <v>240</v>
      </c>
      <c r="C104" s="26" t="s">
        <v>193</v>
      </c>
      <c r="D104" s="29" t="s">
        <v>58</v>
      </c>
      <c r="E104" s="29">
        <v>44648</v>
      </c>
      <c r="F104" s="29"/>
      <c r="G104" s="35">
        <v>799000</v>
      </c>
      <c r="H104" s="26">
        <v>6</v>
      </c>
      <c r="I104" s="26">
        <v>5</v>
      </c>
      <c r="J104" s="27">
        <v>4800</v>
      </c>
      <c r="K104" s="26" t="s">
        <v>326</v>
      </c>
      <c r="L104" s="26" t="s">
        <v>326</v>
      </c>
      <c r="M104" s="40">
        <v>166.45833333333334</v>
      </c>
    </row>
    <row r="105" spans="1:13" ht="15.6" x14ac:dyDescent="0.3">
      <c r="A105" s="26" t="s">
        <v>262</v>
      </c>
      <c r="B105" s="26" t="s">
        <v>240</v>
      </c>
      <c r="C105" s="26" t="s">
        <v>193</v>
      </c>
      <c r="D105" s="29" t="s">
        <v>58</v>
      </c>
      <c r="E105" s="29">
        <v>44736</v>
      </c>
      <c r="F105" s="29"/>
      <c r="G105" s="35">
        <v>229500</v>
      </c>
      <c r="H105" s="26">
        <v>6</v>
      </c>
      <c r="I105" s="26">
        <v>3</v>
      </c>
      <c r="J105" s="27">
        <v>2700</v>
      </c>
      <c r="K105" s="26" t="s">
        <v>327</v>
      </c>
      <c r="L105" s="26" t="s">
        <v>326</v>
      </c>
      <c r="M105" s="40">
        <v>85</v>
      </c>
    </row>
    <row r="106" spans="1:13" ht="15.6" x14ac:dyDescent="0.3">
      <c r="A106" s="26" t="s">
        <v>217</v>
      </c>
      <c r="B106" s="26" t="s">
        <v>197</v>
      </c>
      <c r="C106" s="26" t="s">
        <v>193</v>
      </c>
      <c r="D106" s="29" t="s">
        <v>48</v>
      </c>
      <c r="E106" s="29">
        <v>44740</v>
      </c>
      <c r="F106" s="29"/>
      <c r="G106" s="35">
        <v>239900</v>
      </c>
      <c r="H106" s="26">
        <v>4</v>
      </c>
      <c r="I106" s="26">
        <v>3</v>
      </c>
      <c r="J106" s="27">
        <v>2260</v>
      </c>
      <c r="K106" s="26" t="s">
        <v>326</v>
      </c>
      <c r="L106" s="26" t="s">
        <v>326</v>
      </c>
      <c r="M106" s="40">
        <v>106.15044247787611</v>
      </c>
    </row>
    <row r="107" spans="1:13" ht="15.6" x14ac:dyDescent="0.3">
      <c r="A107" s="26" t="s">
        <v>308</v>
      </c>
      <c r="B107" s="26" t="s">
        <v>278</v>
      </c>
      <c r="C107" s="26" t="s">
        <v>193</v>
      </c>
      <c r="D107" s="29" t="s">
        <v>48</v>
      </c>
      <c r="E107" s="29">
        <v>44793</v>
      </c>
      <c r="F107" s="29"/>
      <c r="G107" s="35">
        <v>339900</v>
      </c>
      <c r="H107" s="26">
        <v>4</v>
      </c>
      <c r="I107" s="26">
        <v>2</v>
      </c>
      <c r="J107" s="27">
        <v>2238</v>
      </c>
      <c r="K107" s="26" t="s">
        <v>326</v>
      </c>
      <c r="L107" s="26" t="s">
        <v>326</v>
      </c>
      <c r="M107" s="40">
        <v>151.87667560321717</v>
      </c>
    </row>
    <row r="108" spans="1:13" ht="15.6" x14ac:dyDescent="0.3">
      <c r="A108" s="26" t="s">
        <v>255</v>
      </c>
      <c r="B108" s="26" t="s">
        <v>240</v>
      </c>
      <c r="C108" s="26" t="s">
        <v>201</v>
      </c>
      <c r="D108" s="29" t="s">
        <v>109</v>
      </c>
      <c r="E108" s="29">
        <v>44698</v>
      </c>
      <c r="F108" s="29">
        <v>44993</v>
      </c>
      <c r="G108" s="35">
        <v>349000</v>
      </c>
      <c r="H108" s="26">
        <v>4</v>
      </c>
      <c r="I108" s="26">
        <v>2.5</v>
      </c>
      <c r="J108" s="27">
        <v>2730</v>
      </c>
      <c r="K108" s="26" t="s">
        <v>327</v>
      </c>
      <c r="L108" s="26" t="s">
        <v>327</v>
      </c>
      <c r="M108" s="40">
        <v>127.83882783882784</v>
      </c>
    </row>
    <row r="109" spans="1:13" ht="15.6" x14ac:dyDescent="0.3">
      <c r="A109" s="26" t="s">
        <v>298</v>
      </c>
      <c r="B109" s="26" t="s">
        <v>278</v>
      </c>
      <c r="C109" s="26" t="s">
        <v>193</v>
      </c>
      <c r="D109" s="29" t="s">
        <v>48</v>
      </c>
      <c r="E109" s="29">
        <v>44720</v>
      </c>
      <c r="F109" s="29">
        <v>45226</v>
      </c>
      <c r="G109" s="35">
        <v>325000</v>
      </c>
      <c r="H109" s="26">
        <v>3</v>
      </c>
      <c r="I109" s="26">
        <v>2.5</v>
      </c>
      <c r="J109" s="27">
        <v>1752</v>
      </c>
      <c r="K109" s="26" t="s">
        <v>326</v>
      </c>
      <c r="L109" s="26" t="s">
        <v>327</v>
      </c>
      <c r="M109" s="40">
        <v>185.50228310502283</v>
      </c>
    </row>
    <row r="110" spans="1:13" ht="15.6" x14ac:dyDescent="0.3">
      <c r="A110" s="26" t="s">
        <v>309</v>
      </c>
      <c r="B110" s="26" t="s">
        <v>278</v>
      </c>
      <c r="C110" s="26" t="s">
        <v>193</v>
      </c>
      <c r="D110" s="29" t="s">
        <v>60</v>
      </c>
      <c r="E110" s="29">
        <v>44795</v>
      </c>
      <c r="F110" s="29"/>
      <c r="G110" s="35">
        <v>225911</v>
      </c>
      <c r="H110" s="26">
        <v>4</v>
      </c>
      <c r="I110" s="26">
        <v>3</v>
      </c>
      <c r="J110" s="27">
        <v>2285</v>
      </c>
      <c r="K110" s="26" t="s">
        <v>327</v>
      </c>
      <c r="L110" s="26" t="s">
        <v>326</v>
      </c>
      <c r="M110" s="40">
        <v>98.866958424507658</v>
      </c>
    </row>
    <row r="111" spans="1:13" ht="15.6" x14ac:dyDescent="0.3">
      <c r="A111" s="26" t="s">
        <v>321</v>
      </c>
      <c r="B111" s="26" t="s">
        <v>278</v>
      </c>
      <c r="C111" s="26" t="s">
        <v>193</v>
      </c>
      <c r="D111" s="29" t="s">
        <v>48</v>
      </c>
      <c r="E111" s="29">
        <v>44883</v>
      </c>
      <c r="F111" s="29">
        <v>45304</v>
      </c>
      <c r="G111" s="35">
        <v>375000</v>
      </c>
      <c r="H111" s="26">
        <v>4</v>
      </c>
      <c r="I111" s="26">
        <v>3</v>
      </c>
      <c r="J111" s="27">
        <v>2368</v>
      </c>
      <c r="K111" s="26" t="s">
        <v>327</v>
      </c>
      <c r="L111" s="26" t="s">
        <v>327</v>
      </c>
      <c r="M111" s="40">
        <v>158.36148648648648</v>
      </c>
    </row>
    <row r="112" spans="1:13" ht="15.6" x14ac:dyDescent="0.3">
      <c r="A112" s="26" t="s">
        <v>307</v>
      </c>
      <c r="B112" s="26" t="s">
        <v>278</v>
      </c>
      <c r="C112" s="26" t="s">
        <v>193</v>
      </c>
      <c r="D112" s="29" t="s">
        <v>48</v>
      </c>
      <c r="E112" s="29">
        <v>44785</v>
      </c>
      <c r="F112" s="29"/>
      <c r="G112" s="35">
        <v>214500</v>
      </c>
      <c r="H112" s="26">
        <v>4</v>
      </c>
      <c r="I112" s="26">
        <v>2.5</v>
      </c>
      <c r="J112" s="27">
        <v>1862</v>
      </c>
      <c r="K112" s="26" t="s">
        <v>327</v>
      </c>
      <c r="L112" s="26" t="s">
        <v>326</v>
      </c>
      <c r="M112" s="40">
        <v>115.19871106337271</v>
      </c>
    </row>
    <row r="113" spans="1:13" ht="15.6" x14ac:dyDescent="0.3">
      <c r="A113" s="26" t="s">
        <v>247</v>
      </c>
      <c r="B113" s="26" t="s">
        <v>240</v>
      </c>
      <c r="C113" s="26" t="s">
        <v>193</v>
      </c>
      <c r="D113" s="29" t="s">
        <v>109</v>
      </c>
      <c r="E113" s="29">
        <v>44659</v>
      </c>
      <c r="F113" s="29">
        <v>45000</v>
      </c>
      <c r="G113" s="35">
        <v>339900</v>
      </c>
      <c r="H113" s="26">
        <v>3</v>
      </c>
      <c r="I113" s="26">
        <v>2</v>
      </c>
      <c r="J113" s="27">
        <v>1828</v>
      </c>
      <c r="K113" s="26" t="s">
        <v>327</v>
      </c>
      <c r="L113" s="26" t="s">
        <v>327</v>
      </c>
      <c r="M113" s="40">
        <v>185.94091903719914</v>
      </c>
    </row>
    <row r="114" spans="1:13" ht="15.6" x14ac:dyDescent="0.3">
      <c r="A114" s="26" t="s">
        <v>263</v>
      </c>
      <c r="B114" s="26" t="s">
        <v>240</v>
      </c>
      <c r="C114" s="26" t="s">
        <v>193</v>
      </c>
      <c r="D114" s="29" t="s">
        <v>58</v>
      </c>
      <c r="E114" s="29">
        <v>44750</v>
      </c>
      <c r="F114" s="29"/>
      <c r="G114" s="35">
        <v>374900</v>
      </c>
      <c r="H114" s="26">
        <v>4</v>
      </c>
      <c r="I114" s="26">
        <v>3</v>
      </c>
      <c r="J114" s="27">
        <v>3927</v>
      </c>
      <c r="K114" s="26" t="s">
        <v>326</v>
      </c>
      <c r="L114" s="26" t="s">
        <v>326</v>
      </c>
      <c r="M114" s="40">
        <v>95.467277820218996</v>
      </c>
    </row>
    <row r="115" spans="1:13" ht="15.6" x14ac:dyDescent="0.3">
      <c r="A115" s="26" t="s">
        <v>294</v>
      </c>
      <c r="B115" s="26" t="s">
        <v>278</v>
      </c>
      <c r="C115" s="26" t="s">
        <v>193</v>
      </c>
      <c r="D115" s="29" t="s">
        <v>58</v>
      </c>
      <c r="E115" s="29">
        <v>44698</v>
      </c>
      <c r="F115" s="29">
        <v>44941</v>
      </c>
      <c r="G115" s="35">
        <v>285000</v>
      </c>
      <c r="H115" s="26">
        <v>2</v>
      </c>
      <c r="I115" s="26">
        <v>1</v>
      </c>
      <c r="J115" s="27">
        <v>2036</v>
      </c>
      <c r="K115" s="26" t="s">
        <v>326</v>
      </c>
      <c r="L115" s="26" t="s">
        <v>327</v>
      </c>
      <c r="M115" s="40">
        <v>139.9803536345776</v>
      </c>
    </row>
    <row r="116" spans="1:13" ht="15.6" x14ac:dyDescent="0.3">
      <c r="A116" s="26" t="s">
        <v>290</v>
      </c>
      <c r="B116" s="26" t="s">
        <v>278</v>
      </c>
      <c r="C116" s="26" t="s">
        <v>193</v>
      </c>
      <c r="D116" s="29" t="s">
        <v>53</v>
      </c>
      <c r="E116" s="29">
        <v>44683</v>
      </c>
      <c r="F116" s="29"/>
      <c r="G116" s="35">
        <v>549000</v>
      </c>
      <c r="H116" s="26">
        <v>4</v>
      </c>
      <c r="I116" s="26">
        <v>3</v>
      </c>
      <c r="J116" s="27">
        <v>1940</v>
      </c>
      <c r="K116" s="26" t="s">
        <v>327</v>
      </c>
      <c r="L116" s="26" t="s">
        <v>326</v>
      </c>
      <c r="M116" s="40">
        <v>282.98969072164948</v>
      </c>
    </row>
    <row r="117" spans="1:13" ht="15.6" x14ac:dyDescent="0.3">
      <c r="A117" s="26" t="s">
        <v>222</v>
      </c>
      <c r="B117" s="26" t="s">
        <v>197</v>
      </c>
      <c r="C117" s="26" t="s">
        <v>193</v>
      </c>
      <c r="D117" s="29" t="s">
        <v>48</v>
      </c>
      <c r="E117" s="29">
        <v>44774</v>
      </c>
      <c r="F117" s="29">
        <v>45243</v>
      </c>
      <c r="G117" s="35">
        <v>249900</v>
      </c>
      <c r="H117" s="26">
        <v>3</v>
      </c>
      <c r="I117" s="26">
        <v>2</v>
      </c>
      <c r="J117" s="27">
        <v>2050</v>
      </c>
      <c r="K117" s="26" t="s">
        <v>326</v>
      </c>
      <c r="L117" s="26" t="s">
        <v>327</v>
      </c>
      <c r="M117" s="40">
        <v>121.90243902439025</v>
      </c>
    </row>
    <row r="118" spans="1:13" ht="15.6" x14ac:dyDescent="0.3">
      <c r="A118" s="26" t="s">
        <v>310</v>
      </c>
      <c r="B118" s="26" t="s">
        <v>278</v>
      </c>
      <c r="C118" s="26" t="s">
        <v>193</v>
      </c>
      <c r="D118" s="29" t="s">
        <v>48</v>
      </c>
      <c r="E118" s="29">
        <v>44800</v>
      </c>
      <c r="F118" s="29"/>
      <c r="G118" s="35">
        <v>149900</v>
      </c>
      <c r="H118" s="26">
        <v>2</v>
      </c>
      <c r="I118" s="26">
        <v>1</v>
      </c>
      <c r="J118" s="27">
        <v>1234</v>
      </c>
      <c r="K118" s="26" t="s">
        <v>326</v>
      </c>
      <c r="L118" s="26" t="s">
        <v>326</v>
      </c>
      <c r="M118" s="40">
        <v>121.47487844408428</v>
      </c>
    </row>
    <row r="119" spans="1:13" ht="15.6" x14ac:dyDescent="0.3">
      <c r="A119" s="26" t="s">
        <v>283</v>
      </c>
      <c r="B119" s="26" t="s">
        <v>278</v>
      </c>
      <c r="C119" s="26" t="s">
        <v>193</v>
      </c>
      <c r="D119" s="29" t="s">
        <v>48</v>
      </c>
      <c r="E119" s="29">
        <v>44637</v>
      </c>
      <c r="F119" s="29">
        <v>45071</v>
      </c>
      <c r="G119" s="35">
        <v>215000</v>
      </c>
      <c r="H119" s="26">
        <v>3</v>
      </c>
      <c r="I119" s="26">
        <v>1.75</v>
      </c>
      <c r="J119" s="27">
        <v>2157</v>
      </c>
      <c r="K119" s="26" t="s">
        <v>327</v>
      </c>
      <c r="L119" s="26" t="s">
        <v>327</v>
      </c>
      <c r="M119" s="40">
        <v>99.67547519703291</v>
      </c>
    </row>
    <row r="120" spans="1:13" ht="15.6" x14ac:dyDescent="0.3">
      <c r="A120" s="26" t="s">
        <v>300</v>
      </c>
      <c r="B120" s="26" t="s">
        <v>278</v>
      </c>
      <c r="C120" s="26" t="s">
        <v>193</v>
      </c>
      <c r="D120" s="29" t="s">
        <v>58</v>
      </c>
      <c r="E120" s="29">
        <v>44743</v>
      </c>
      <c r="F120" s="29">
        <v>44951</v>
      </c>
      <c r="G120" s="35">
        <v>309950</v>
      </c>
      <c r="H120" s="26">
        <v>4</v>
      </c>
      <c r="I120" s="26">
        <v>3</v>
      </c>
      <c r="J120" s="27">
        <v>2800</v>
      </c>
      <c r="K120" s="26" t="s">
        <v>326</v>
      </c>
      <c r="L120" s="26" t="s">
        <v>327</v>
      </c>
      <c r="M120" s="40">
        <v>110.69642857142857</v>
      </c>
    </row>
    <row r="121" spans="1:13" ht="15.6" x14ac:dyDescent="0.3">
      <c r="A121" s="26" t="s">
        <v>304</v>
      </c>
      <c r="B121" s="26" t="s">
        <v>278</v>
      </c>
      <c r="C121" s="26" t="s">
        <v>193</v>
      </c>
      <c r="D121" s="29" t="s">
        <v>48</v>
      </c>
      <c r="E121" s="29">
        <v>44767</v>
      </c>
      <c r="F121" s="29"/>
      <c r="G121" s="35">
        <v>309950</v>
      </c>
      <c r="H121" s="26">
        <v>4</v>
      </c>
      <c r="I121" s="26">
        <v>3</v>
      </c>
      <c r="J121" s="27">
        <v>2800</v>
      </c>
      <c r="K121" s="26" t="s">
        <v>327</v>
      </c>
      <c r="L121" s="26" t="s">
        <v>326</v>
      </c>
      <c r="M121" s="40">
        <v>110.69642857142857</v>
      </c>
    </row>
    <row r="122" spans="1:13" ht="15.6" x14ac:dyDescent="0.3">
      <c r="A122" s="26" t="s">
        <v>253</v>
      </c>
      <c r="B122" s="26" t="s">
        <v>240</v>
      </c>
      <c r="C122" s="26" t="s">
        <v>201</v>
      </c>
      <c r="D122" s="29" t="s">
        <v>48</v>
      </c>
      <c r="E122" s="29">
        <v>44677</v>
      </c>
      <c r="F122" s="29"/>
      <c r="G122" s="35">
        <v>369900</v>
      </c>
      <c r="H122" s="26">
        <v>3</v>
      </c>
      <c r="I122" s="26">
        <v>2.5</v>
      </c>
      <c r="J122" s="27">
        <v>2030</v>
      </c>
      <c r="K122" s="26" t="s">
        <v>327</v>
      </c>
      <c r="L122" s="26" t="s">
        <v>326</v>
      </c>
      <c r="M122" s="40">
        <v>182.21674876847291</v>
      </c>
    </row>
    <row r="123" spans="1:13" ht="15.6" x14ac:dyDescent="0.3">
      <c r="A123" s="26" t="s">
        <v>293</v>
      </c>
      <c r="B123" s="26" t="s">
        <v>278</v>
      </c>
      <c r="C123" s="26" t="s">
        <v>193</v>
      </c>
      <c r="D123" s="29" t="s">
        <v>53</v>
      </c>
      <c r="E123" s="29">
        <v>44693</v>
      </c>
      <c r="F123" s="29">
        <v>45102</v>
      </c>
      <c r="G123" s="35">
        <v>335000</v>
      </c>
      <c r="H123" s="26">
        <v>3</v>
      </c>
      <c r="I123" s="26">
        <v>2.5</v>
      </c>
      <c r="J123" s="27">
        <v>2000</v>
      </c>
      <c r="K123" s="26" t="s">
        <v>327</v>
      </c>
      <c r="L123" s="26" t="s">
        <v>327</v>
      </c>
      <c r="M123" s="40">
        <v>167.5</v>
      </c>
    </row>
    <row r="124" spans="1:13" ht="15.6" x14ac:dyDescent="0.3">
      <c r="A124" s="26" t="s">
        <v>208</v>
      </c>
      <c r="B124" s="26" t="s">
        <v>197</v>
      </c>
      <c r="C124" s="26" t="s">
        <v>193</v>
      </c>
      <c r="D124" s="29" t="s">
        <v>48</v>
      </c>
      <c r="E124" s="29">
        <v>44671</v>
      </c>
      <c r="F124" s="29">
        <v>45188</v>
      </c>
      <c r="G124" s="35">
        <v>304900</v>
      </c>
      <c r="H124" s="26">
        <v>4</v>
      </c>
      <c r="I124" s="26">
        <v>3</v>
      </c>
      <c r="J124" s="27">
        <v>2350</v>
      </c>
      <c r="K124" s="26" t="s">
        <v>326</v>
      </c>
      <c r="L124" s="26" t="s">
        <v>327</v>
      </c>
      <c r="M124" s="40">
        <v>129.74468085106383</v>
      </c>
    </row>
    <row r="125" spans="1:13" ht="15.6" x14ac:dyDescent="0.3">
      <c r="A125" s="26" t="s">
        <v>196</v>
      </c>
      <c r="B125" s="26" t="s">
        <v>197</v>
      </c>
      <c r="C125" s="26" t="s">
        <v>193</v>
      </c>
      <c r="D125" s="29" t="s">
        <v>48</v>
      </c>
      <c r="E125" s="29">
        <v>44635</v>
      </c>
      <c r="F125" s="29"/>
      <c r="G125" s="35">
        <v>205000</v>
      </c>
      <c r="H125" s="26">
        <v>3</v>
      </c>
      <c r="I125" s="26">
        <v>2.5</v>
      </c>
      <c r="J125" s="27">
        <v>2001</v>
      </c>
      <c r="K125" s="26" t="s">
        <v>327</v>
      </c>
      <c r="L125" s="26" t="s">
        <v>326</v>
      </c>
      <c r="M125" s="40">
        <v>102.4487756121939</v>
      </c>
    </row>
    <row r="126" spans="1:13" ht="15.6" x14ac:dyDescent="0.3">
      <c r="A126" s="26" t="s">
        <v>296</v>
      </c>
      <c r="B126" s="26" t="s">
        <v>278</v>
      </c>
      <c r="C126" s="26" t="s">
        <v>201</v>
      </c>
      <c r="D126" s="29" t="s">
        <v>58</v>
      </c>
      <c r="E126" s="29">
        <v>44707</v>
      </c>
      <c r="F126" s="29"/>
      <c r="G126" s="35">
        <v>119000</v>
      </c>
      <c r="H126" s="26">
        <v>1</v>
      </c>
      <c r="I126" s="26">
        <v>1</v>
      </c>
      <c r="J126" s="27">
        <v>950</v>
      </c>
      <c r="K126" s="26" t="s">
        <v>326</v>
      </c>
      <c r="L126" s="26" t="s">
        <v>326</v>
      </c>
      <c r="M126" s="40">
        <v>125.26315789473684</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E69EE-28E9-41A3-972B-DFF8C17AC375}">
  <dimension ref="A1"/>
  <sheetViews>
    <sheetView tabSelected="1" zoomScale="60" zoomScaleNormal="60" workbookViewId="0"/>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10723-A6A3-4693-A036-02032C7631F2}">
  <dimension ref="BQA856695"/>
  <sheetViews>
    <sheetView workbookViewId="0"/>
  </sheetViews>
  <sheetFormatPr defaultRowHeight="13.8" x14ac:dyDescent="0.25"/>
  <sheetData>
    <row r="856695" spans="1795:1795" x14ac:dyDescent="0.25">
      <c r="BQA856695" t="s">
        <v>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0C2974F-E26C-4B8D-92FB-7B14C07C8C43}">
  <ds:schemaRefs>
    <ds:schemaRef ds:uri="http://schemas.microsoft.com/DataMashup"/>
  </ds:schemaRefs>
</ds:datastoreItem>
</file>

<file path=customXml/itemProps2.xml><?xml version="1.0" encoding="utf-8"?>
<ds:datastoreItem xmlns:ds="http://schemas.openxmlformats.org/officeDocument/2006/customXml" ds:itemID="{5C3331C4-ABDF-4FB8-864D-4B8D33D6DC80}">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8C020074-2531-44BC-81BF-A692D57A2F88}">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 County</vt:lpstr>
      <vt:lpstr>N. County</vt:lpstr>
      <vt:lpstr>Central</vt:lpstr>
      <vt:lpstr>Sample Dashboard</vt:lpstr>
      <vt:lpstr>Questions</vt:lpstr>
      <vt:lpstr>PivotTable</vt:lpstr>
      <vt:lpstr>MasterData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Walkenbach</dc:creator>
  <cp:lastModifiedBy>Office</cp:lastModifiedBy>
  <dcterms:created xsi:type="dcterms:W3CDTF">1999-05-13T23:59:55Z</dcterms:created>
  <dcterms:modified xsi:type="dcterms:W3CDTF">2026-04-13T14:39:55Z</dcterms:modified>
</cp:coreProperties>
</file>